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xl/worksheets/sheet1.xml" ContentType="application/vnd.openxmlformats-officedocument.spreadsheetml.worksheet+xml"/>
  <Override PartName="/docProps/app.xml" ContentType="application/vnd.openxmlformats-officedocument.extended-properties+xml"/>
  <Override PartName="/xl/externalLinks/externalLink1.xml" ContentType="application/vnd.openxmlformats-officedocument.spreadsheetml.externalLink+xml"/>
  <Override PartName="/docProps/core.xml" ContentType="application/vnd.openxmlformats-package.core-properties+xml"/>
  <Override PartName="/xl/calcChain.xml" ContentType="application/vnd.openxmlformats-officedocument.spreadsheetml.calcChain+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9"/>
  <workbookPr defaultThemeVersion="166925"/>
  <mc:AlternateContent xmlns:mc="http://schemas.openxmlformats.org/markup-compatibility/2006">
    <mc:Choice Requires="x15">
      <x15ac:absPath xmlns:x15ac="http://schemas.microsoft.com/office/spreadsheetml/2010/11/ac" url="/Users/russelloverby/Desktop/"/>
    </mc:Choice>
  </mc:AlternateContent>
  <xr:revisionPtr revIDLastSave="0" documentId="13_ncr:1_{FD39EC4B-60AD-F447-BDAB-31CD257B57E2}" xr6:coauthVersionLast="47" xr6:coauthVersionMax="47" xr10:uidLastSave="{00000000-0000-0000-0000-000000000000}"/>
  <bookViews>
    <workbookView xWindow="34160" yWindow="11560" windowWidth="42300" windowHeight="26800" xr2:uid="{8BC5191C-1C47-1D4E-8A75-7F65E5ED3C35}"/>
  </bookViews>
  <sheets>
    <sheet name="Sheet1" sheetId="1" r:id="rId1"/>
  </sheets>
  <externalReferences>
    <externalReference r:id="rId2"/>
  </externalReferenc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26" i="1" l="1"/>
  <c r="F26" i="1" s="1"/>
  <c r="C26" i="1"/>
  <c r="D26" i="1" s="1"/>
  <c r="K25" i="1"/>
  <c r="K26" i="1" s="1"/>
  <c r="L26" i="1" s="1"/>
  <c r="I25" i="1"/>
  <c r="I26" i="1" s="1"/>
  <c r="J26" i="1" s="1"/>
  <c r="G25" i="1"/>
  <c r="G26" i="1" s="1"/>
  <c r="H26" i="1" s="1"/>
  <c r="E25" i="1"/>
  <c r="F25" i="1" s="1"/>
  <c r="C25" i="1"/>
  <c r="D25" i="1" s="1"/>
  <c r="K24" i="1"/>
  <c r="L24" i="1" s="1"/>
  <c r="I24" i="1"/>
  <c r="J24" i="1" s="1"/>
  <c r="G24" i="1"/>
  <c r="H24" i="1" s="1"/>
  <c r="E24" i="1"/>
  <c r="F24" i="1" s="1"/>
  <c r="C24" i="1"/>
  <c r="D24" i="1" s="1"/>
  <c r="L23" i="1"/>
  <c r="K23" i="1"/>
  <c r="I23" i="1"/>
  <c r="J23" i="1" s="1"/>
  <c r="G23" i="1"/>
  <c r="H23" i="1" s="1"/>
  <c r="E23" i="1"/>
  <c r="F23" i="1" s="1"/>
  <c r="C23" i="1"/>
  <c r="D23" i="1" s="1"/>
  <c r="K22" i="1"/>
  <c r="L22" i="1" s="1"/>
  <c r="I22" i="1"/>
  <c r="J22" i="1" s="1"/>
  <c r="G22" i="1"/>
  <c r="H22" i="1" s="1"/>
  <c r="F22" i="1"/>
  <c r="E22" i="1"/>
  <c r="C22" i="1"/>
  <c r="D22" i="1" s="1"/>
  <c r="K21" i="1"/>
  <c r="L21" i="1" s="1"/>
  <c r="I21" i="1"/>
  <c r="J21" i="1" s="1"/>
  <c r="G21" i="1"/>
  <c r="H21" i="1" s="1"/>
  <c r="E21" i="1"/>
  <c r="F21" i="1" s="1"/>
  <c r="C21" i="1"/>
  <c r="D21" i="1" s="1"/>
  <c r="K20" i="1"/>
  <c r="L20" i="1" s="1"/>
  <c r="J20" i="1"/>
  <c r="I20" i="1"/>
  <c r="G20" i="1"/>
  <c r="H20" i="1" s="1"/>
  <c r="E20" i="1"/>
  <c r="F20" i="1" s="1"/>
  <c r="C20" i="1"/>
  <c r="D20" i="1" s="1"/>
  <c r="K19" i="1"/>
  <c r="L19" i="1" s="1"/>
  <c r="I19" i="1"/>
  <c r="J19" i="1" s="1"/>
  <c r="G19" i="1"/>
  <c r="H19" i="1" s="1"/>
  <c r="E19" i="1"/>
  <c r="F19" i="1" s="1"/>
  <c r="D19" i="1"/>
  <c r="C19" i="1"/>
  <c r="K18" i="1"/>
  <c r="L18" i="1" s="1"/>
  <c r="I18" i="1"/>
  <c r="J18" i="1" s="1"/>
  <c r="G18" i="1"/>
  <c r="H18" i="1" s="1"/>
  <c r="E18" i="1"/>
  <c r="F18" i="1" s="1"/>
  <c r="C18" i="1"/>
  <c r="D18" i="1" s="1"/>
  <c r="K17" i="1"/>
  <c r="L17" i="1" s="1"/>
  <c r="I17" i="1"/>
  <c r="J17" i="1" s="1"/>
  <c r="H17" i="1"/>
  <c r="G17" i="1"/>
  <c r="E17" i="1"/>
  <c r="F17" i="1" s="1"/>
  <c r="C17" i="1"/>
  <c r="D17" i="1" s="1"/>
  <c r="K16" i="1"/>
  <c r="L16" i="1" s="1"/>
  <c r="I16" i="1"/>
  <c r="J16" i="1" s="1"/>
  <c r="G16" i="1"/>
  <c r="H16" i="1" s="1"/>
  <c r="E16" i="1"/>
  <c r="F16" i="1" s="1"/>
  <c r="C16" i="1"/>
  <c r="D16" i="1" s="1"/>
  <c r="L15" i="1"/>
  <c r="K15" i="1"/>
  <c r="I15" i="1"/>
  <c r="J15" i="1" s="1"/>
  <c r="G15" i="1"/>
  <c r="H15" i="1" s="1"/>
  <c r="E15" i="1"/>
  <c r="F15" i="1" s="1"/>
  <c r="C15" i="1"/>
  <c r="D15" i="1" s="1"/>
  <c r="K14" i="1"/>
  <c r="L14" i="1" s="1"/>
  <c r="I14" i="1"/>
  <c r="J14" i="1" s="1"/>
  <c r="G14" i="1"/>
  <c r="H14" i="1" s="1"/>
  <c r="F14" i="1"/>
  <c r="E14" i="1"/>
  <c r="C14" i="1"/>
  <c r="D14" i="1" s="1"/>
  <c r="K13" i="1"/>
  <c r="L13" i="1" s="1"/>
  <c r="I13" i="1"/>
  <c r="J13" i="1" s="1"/>
  <c r="G13" i="1"/>
  <c r="H13" i="1" s="1"/>
  <c r="E13" i="1"/>
  <c r="F13" i="1" s="1"/>
  <c r="C13" i="1"/>
  <c r="D13" i="1" s="1"/>
  <c r="K12" i="1"/>
  <c r="L12" i="1" s="1"/>
  <c r="J12" i="1"/>
  <c r="I12" i="1"/>
  <c r="G12" i="1"/>
  <c r="H12" i="1" s="1"/>
  <c r="E12" i="1"/>
  <c r="F12" i="1" s="1"/>
  <c r="C12" i="1"/>
  <c r="D12" i="1" s="1"/>
  <c r="K11" i="1"/>
  <c r="L11" i="1" s="1"/>
  <c r="I11" i="1"/>
  <c r="J11" i="1" s="1"/>
  <c r="G11" i="1"/>
  <c r="H11" i="1" s="1"/>
  <c r="E11" i="1"/>
  <c r="F11" i="1" s="1"/>
  <c r="D11" i="1"/>
  <c r="C11" i="1"/>
  <c r="K10" i="1"/>
  <c r="L10" i="1" s="1"/>
  <c r="I10" i="1"/>
  <c r="J10" i="1" s="1"/>
  <c r="G10" i="1"/>
  <c r="H10" i="1" s="1"/>
  <c r="E10" i="1"/>
  <c r="F10" i="1" s="1"/>
  <c r="C10" i="1"/>
  <c r="D10" i="1" s="1"/>
  <c r="K9" i="1"/>
  <c r="L9" i="1" s="1"/>
  <c r="I9" i="1"/>
  <c r="J9" i="1" s="1"/>
  <c r="G9" i="1"/>
  <c r="H9" i="1" s="1"/>
  <c r="E9" i="1"/>
  <c r="F9" i="1" s="1"/>
  <c r="C9" i="1"/>
  <c r="D9" i="1" s="1"/>
  <c r="K8" i="1"/>
  <c r="L8" i="1" s="1"/>
  <c r="I8" i="1"/>
  <c r="J8" i="1" s="1"/>
  <c r="G8" i="1"/>
  <c r="H8" i="1" s="1"/>
  <c r="E8" i="1"/>
  <c r="F8" i="1" s="1"/>
  <c r="C8" i="1"/>
  <c r="D8" i="1" s="1"/>
  <c r="K7" i="1"/>
  <c r="L7" i="1" s="1"/>
  <c r="I7" i="1"/>
  <c r="J7" i="1" s="1"/>
  <c r="G7" i="1"/>
  <c r="H7" i="1" s="1"/>
  <c r="E7" i="1"/>
  <c r="F7" i="1" s="1"/>
  <c r="C7" i="1"/>
  <c r="D7" i="1" s="1"/>
  <c r="H25" i="1" l="1"/>
  <c r="J25" i="1"/>
  <c r="L25" i="1"/>
</calcChain>
</file>

<file path=xl/sharedStrings.xml><?xml version="1.0" encoding="utf-8"?>
<sst xmlns="http://schemas.openxmlformats.org/spreadsheetml/2006/main" count="20" uniqueCount="12">
  <si>
    <t>Arlington Community Schools</t>
  </si>
  <si>
    <t>Salary Schedule 2021-2022</t>
  </si>
  <si>
    <t>TEACHER SALARY SCHEDULE</t>
  </si>
  <si>
    <t>Bachelor's Degree*</t>
  </si>
  <si>
    <t>Master's Degree*</t>
  </si>
  <si>
    <t>MA+30 Degree*</t>
  </si>
  <si>
    <t>ED.S Degree*</t>
  </si>
  <si>
    <t>Doctorate Degree*</t>
  </si>
  <si>
    <t>Step</t>
  </si>
  <si>
    <t>Annual</t>
  </si>
  <si>
    <t>Semi-Monthly</t>
  </si>
  <si>
    <t>*ACS recognizes up to 10 years of outside teaching experience from an accredited school upon verification of the experience being provided by the teacher on official reporting forms for salary purposes.  If a teacher is hired to fill one of our hard to staff areas as outlined in our Differentiated Pay Plan, then year to year parity is recognized up to 19 years of outside teaching experience from an accredited school upon verification of the experience being provided by the teacher on official reporting forms for salary purposes.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</si>
</sst>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_(&quot;$&quot;* #,##0_);_(&quot;$&quot;* \(#,##0\);_(&quot;$&quot;* &quot;-&quot;??_);_(@_)"/>
  </numFmts>
  <fonts count="6" x14ac:knownFonts="1">
    <font>
      <sz val="12"/>
      <color theme="1"/>
      <name val="Calibri"/>
      <family val="2"/>
      <scheme val="minor"/>
    </font>
    <font>
      <sz val="12"/>
      <color theme="1"/>
      <name val="Calibri"/>
      <family val="2"/>
      <scheme val="minor"/>
    </font>
    <font>
      <sz val="12"/>
      <color theme="1"/>
      <name val="Calibri"/>
      <family val="2"/>
    </font>
    <font>
      <b/>
      <sz val="12"/>
      <color rgb="FF000000"/>
      <name val="Calibri"/>
      <family val="2"/>
    </font>
    <font>
      <sz val="12"/>
      <color rgb="FF000000"/>
      <name val="Calibri"/>
      <family val="2"/>
    </font>
    <font>
      <b/>
      <i/>
      <sz val="12"/>
      <color rgb="FF000000"/>
      <name val="Calibri"/>
      <family val="2"/>
    </font>
  </fonts>
  <fills count="2">
    <fill>
      <patternFill patternType="none"/>
    </fill>
    <fill>
      <patternFill patternType="gray125"/>
    </fill>
  </fills>
  <borders count="6">
    <border>
      <left/>
      <right/>
      <top/>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s>
  <cellStyleXfs count="2">
    <xf numFmtId="0" fontId="0" fillId="0" borderId="0"/>
    <xf numFmtId="44" fontId="1" fillId="0" borderId="0" applyFont="0" applyFill="0" applyBorder="0" applyAlignment="0" applyProtection="0"/>
  </cellStyleXfs>
  <cellXfs count="14">
    <xf numFmtId="0" fontId="0" fillId="0" borderId="0" xfId="0"/>
    <xf numFmtId="0" fontId="2" fillId="0" borderId="0" xfId="0" applyFont="1"/>
    <xf numFmtId="0" fontId="3" fillId="0" borderId="0" xfId="0" applyFont="1" applyAlignment="1">
      <alignment horizontal="center"/>
    </xf>
    <xf numFmtId="0" fontId="3" fillId="0" borderId="1" xfId="0" applyFont="1" applyBorder="1"/>
    <xf numFmtId="0" fontId="3" fillId="0" borderId="2" xfId="0" applyFont="1" applyBorder="1" applyAlignment="1">
      <alignment horizontal="center"/>
    </xf>
    <xf numFmtId="0" fontId="3" fillId="0" borderId="3" xfId="0" applyFont="1" applyBorder="1" applyAlignment="1">
      <alignment horizontal="center"/>
    </xf>
    <xf numFmtId="0" fontId="3" fillId="0" borderId="4" xfId="0" applyFont="1" applyBorder="1" applyAlignment="1">
      <alignment horizontal="center"/>
    </xf>
    <xf numFmtId="0" fontId="3" fillId="0" borderId="5" xfId="0" applyFont="1" applyBorder="1"/>
    <xf numFmtId="0" fontId="3" fillId="0" borderId="2" xfId="0" applyFont="1" applyBorder="1" applyAlignment="1">
      <alignment horizontal="center"/>
    </xf>
    <xf numFmtId="0" fontId="3" fillId="0" borderId="3" xfId="0" applyFont="1" applyBorder="1" applyAlignment="1">
      <alignment horizontal="center"/>
    </xf>
    <xf numFmtId="164" fontId="4" fillId="0" borderId="3" xfId="1" applyNumberFormat="1" applyFont="1" applyFill="1" applyBorder="1"/>
    <xf numFmtId="44" fontId="2" fillId="0" borderId="3" xfId="1" applyFont="1" applyFill="1" applyBorder="1"/>
    <xf numFmtId="164" fontId="2" fillId="0" borderId="3" xfId="1" applyNumberFormat="1" applyFont="1" applyFill="1" applyBorder="1"/>
    <xf numFmtId="0" fontId="5" fillId="0" borderId="0" xfId="0" applyFont="1" applyAlignment="1">
      <alignment wrapText="1"/>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var/folders/9j/51bqmvb11m7dw25n33lh2hy40000gn/T/com.microsoft.Outlook/Outlook%20Temp/2021-22%20Salary%20Schedule%20%5b3%5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Salary Schedules"/>
      <sheetName val="TSS"/>
      <sheetName val="TSS B-W"/>
      <sheetName val="TSS Original"/>
      <sheetName val="HBD"/>
      <sheetName val="GC "/>
      <sheetName val="GC B-W"/>
      <sheetName val="STOT"/>
      <sheetName val="STOT B-W"/>
      <sheetName val="NUR"/>
      <sheetName val="Coach Supplements"/>
    </sheetNames>
    <sheetDataSet>
      <sheetData sheetId="0"/>
      <sheetData sheetId="1">
        <row r="1">
          <cell r="F1">
            <v>1.02</v>
          </cell>
        </row>
      </sheetData>
      <sheetData sheetId="2"/>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F0E3F-0CAA-334B-A033-87B74AE8798D}">
  <dimension ref="A1:L28"/>
  <sheetViews>
    <sheetView tabSelected="1" view="pageLayout" zoomScaleNormal="100" workbookViewId="0">
      <selection activeCell="B2" sqref="B2:L2"/>
    </sheetView>
  </sheetViews>
  <sheetFormatPr baseColWidth="10" defaultRowHeight="16" x14ac:dyDescent="0.2"/>
  <cols>
    <col min="1" max="1" width="2.5" customWidth="1"/>
    <col min="2" max="2" width="4.33203125" customWidth="1"/>
    <col min="3" max="3" width="10" customWidth="1"/>
    <col min="4" max="4" width="12" customWidth="1"/>
    <col min="5" max="5" width="10" customWidth="1"/>
    <col min="6" max="6" width="12" customWidth="1"/>
    <col min="7" max="7" width="10" customWidth="1"/>
    <col min="8" max="8" width="12" customWidth="1"/>
    <col min="9" max="9" width="10" customWidth="1"/>
    <col min="10" max="10" width="12" customWidth="1"/>
    <col min="11" max="11" width="10" customWidth="1"/>
    <col min="12" max="12" width="12" customWidth="1"/>
  </cols>
  <sheetData>
    <row r="1" spans="1:12" x14ac:dyDescent="0.2">
      <c r="A1" s="1"/>
      <c r="B1" s="2" t="s">
        <v>0</v>
      </c>
      <c r="C1" s="2"/>
      <c r="D1" s="2"/>
      <c r="E1" s="2"/>
      <c r="F1" s="2"/>
      <c r="G1" s="2"/>
      <c r="H1" s="2"/>
      <c r="I1" s="2"/>
      <c r="J1" s="2"/>
      <c r="K1" s="2"/>
      <c r="L1" s="2"/>
    </row>
    <row r="2" spans="1:12" x14ac:dyDescent="0.2">
      <c r="A2" s="1"/>
      <c r="B2" s="2" t="s">
        <v>1</v>
      </c>
      <c r="C2" s="2"/>
      <c r="D2" s="2"/>
      <c r="E2" s="2"/>
      <c r="F2" s="2"/>
      <c r="G2" s="2"/>
      <c r="H2" s="2"/>
      <c r="I2" s="2"/>
      <c r="J2" s="2"/>
      <c r="K2" s="2"/>
      <c r="L2" s="2"/>
    </row>
    <row r="3" spans="1:12" x14ac:dyDescent="0.2">
      <c r="A3" s="1"/>
      <c r="B3" s="2" t="s">
        <v>2</v>
      </c>
      <c r="C3" s="2"/>
      <c r="D3" s="2"/>
      <c r="E3" s="2"/>
      <c r="F3" s="2"/>
      <c r="G3" s="2"/>
      <c r="H3" s="2"/>
      <c r="I3" s="2"/>
      <c r="J3" s="2"/>
      <c r="K3" s="2"/>
      <c r="L3" s="2"/>
    </row>
    <row r="4" spans="1:12" x14ac:dyDescent="0.2">
      <c r="A4" s="1"/>
      <c r="B4" s="1"/>
      <c r="C4" s="1"/>
      <c r="D4" s="1"/>
      <c r="E4" s="1"/>
      <c r="F4" s="1"/>
      <c r="G4" s="1"/>
      <c r="H4" s="1"/>
      <c r="I4" s="1"/>
      <c r="J4" s="1"/>
      <c r="K4" s="1"/>
      <c r="L4" s="1"/>
    </row>
    <row r="5" spans="1:12" x14ac:dyDescent="0.2">
      <c r="A5" s="1"/>
      <c r="B5" s="3"/>
      <c r="C5" s="4" t="s">
        <v>3</v>
      </c>
      <c r="D5" s="5"/>
      <c r="E5" s="6" t="s">
        <v>4</v>
      </c>
      <c r="F5" s="4"/>
      <c r="G5" s="6" t="s">
        <v>5</v>
      </c>
      <c r="H5" s="4"/>
      <c r="I5" s="6" t="s">
        <v>6</v>
      </c>
      <c r="J5" s="4"/>
      <c r="K5" s="6" t="s">
        <v>7</v>
      </c>
      <c r="L5" s="4"/>
    </row>
    <row r="6" spans="1:12" x14ac:dyDescent="0.2">
      <c r="A6" s="1"/>
      <c r="B6" s="7" t="s">
        <v>8</v>
      </c>
      <c r="C6" s="8" t="s">
        <v>9</v>
      </c>
      <c r="D6" s="9" t="s">
        <v>10</v>
      </c>
      <c r="E6" s="9" t="s">
        <v>9</v>
      </c>
      <c r="F6" s="9" t="s">
        <v>10</v>
      </c>
      <c r="G6" s="9" t="s">
        <v>9</v>
      </c>
      <c r="H6" s="9" t="s">
        <v>10</v>
      </c>
      <c r="I6" s="9" t="s">
        <v>9</v>
      </c>
      <c r="J6" s="9" t="s">
        <v>10</v>
      </c>
      <c r="K6" s="9" t="s">
        <v>9</v>
      </c>
      <c r="L6" s="9" t="s">
        <v>10</v>
      </c>
    </row>
    <row r="7" spans="1:12" x14ac:dyDescent="0.2">
      <c r="A7" s="1"/>
      <c r="B7" s="9">
        <v>0</v>
      </c>
      <c r="C7" s="10">
        <f>44934.730344*'[1]Salary Schedules'!F1</f>
        <v>45833.424950880006</v>
      </c>
      <c r="D7" s="11">
        <f>C7/24</f>
        <v>1909.7260396200002</v>
      </c>
      <c r="E7" s="10">
        <f>48579.979824*'[1]Salary Schedules'!F1</f>
        <v>49551.579420480004</v>
      </c>
      <c r="F7" s="11">
        <f>E7/24</f>
        <v>2064.6491425200002</v>
      </c>
      <c r="G7" s="10">
        <f>52347.268224*'[1]Salary Schedules'!F1</f>
        <v>53394.213588480001</v>
      </c>
      <c r="H7" s="11">
        <f>G7/24</f>
        <v>2224.7588995199999</v>
      </c>
      <c r="I7" s="10">
        <f>53084.807784*'[1]Salary Schedules'!F1</f>
        <v>54146.503939679998</v>
      </c>
      <c r="J7" s="11">
        <f>I7/24</f>
        <v>2256.1043308200001</v>
      </c>
      <c r="K7" s="10">
        <f>55036.369296*'[1]Salary Schedules'!F1</f>
        <v>56137.096681919997</v>
      </c>
      <c r="L7" s="11">
        <f>K7/24</f>
        <v>2339.0456950799999</v>
      </c>
    </row>
    <row r="8" spans="1:12" x14ac:dyDescent="0.2">
      <c r="A8" s="1"/>
      <c r="B8" s="9">
        <v>1</v>
      </c>
      <c r="C8" s="10">
        <f>45850.552848*'[1]Salary Schedules'!F1</f>
        <v>46767.563904959999</v>
      </c>
      <c r="D8" s="11">
        <f t="shared" ref="D8:D26" si="0">C8/24</f>
        <v>1948.6484960400001</v>
      </c>
      <c r="E8" s="10">
        <f>49712.28876*'[1]Salary Schedules'!F1</f>
        <v>50706.534535200008</v>
      </c>
      <c r="F8" s="11">
        <f t="shared" ref="F8:F26" si="1">E8/24</f>
        <v>2112.7722723000002</v>
      </c>
      <c r="G8" s="10">
        <f>53663.166144*'[1]Salary Schedules'!F1</f>
        <v>54736.429466880007</v>
      </c>
      <c r="H8" s="11">
        <f>G8/24</f>
        <v>2280.6845611200001</v>
      </c>
      <c r="I8" s="10">
        <f>54411.317784*'[1]Salary Schedules'!F1</f>
        <v>55499.544139680002</v>
      </c>
      <c r="J8" s="11">
        <f t="shared" ref="J8:J26" si="2">I8/24</f>
        <v>2312.4810058200001</v>
      </c>
      <c r="K8" s="10">
        <f>56292.839568*'[1]Salary Schedules'!F1</f>
        <v>57418.696359360001</v>
      </c>
      <c r="L8" s="11">
        <f t="shared" ref="L8:L26" si="3">K8/24</f>
        <v>2392.4456816400002</v>
      </c>
    </row>
    <row r="9" spans="1:12" x14ac:dyDescent="0.2">
      <c r="A9" s="1"/>
      <c r="B9" s="9">
        <v>2</v>
      </c>
      <c r="C9" s="10">
        <f>46966.943664*'[1]Salary Schedules'!F1</f>
        <v>47906.28253728</v>
      </c>
      <c r="D9" s="11">
        <f t="shared" si="0"/>
        <v>1996.09510572</v>
      </c>
      <c r="E9" s="10">
        <f>50803.210584*'[1]Salary Schedules'!F1</f>
        <v>51819.274795680001</v>
      </c>
      <c r="F9" s="11">
        <f t="shared" si="1"/>
        <v>2159.1364498200001</v>
      </c>
      <c r="G9" s="10">
        <f>54915.391584*'[1]Salary Schedules'!F1</f>
        <v>56013.699415679999</v>
      </c>
      <c r="H9" s="11">
        <f t="shared" ref="H9:H26" si="4">G9/24</f>
        <v>2333.9041423200001</v>
      </c>
      <c r="I9" s="10">
        <f>55660.3596*'[1]Salary Schedules'!F1</f>
        <v>56773.566792000005</v>
      </c>
      <c r="J9" s="11">
        <f t="shared" si="2"/>
        <v>2365.5652830000004</v>
      </c>
      <c r="K9" s="10">
        <f>57542.942592*'[1]Salary Schedules'!F1</f>
        <v>58693.801443839999</v>
      </c>
      <c r="L9" s="11">
        <f t="shared" si="3"/>
        <v>2445.5750601599998</v>
      </c>
    </row>
    <row r="10" spans="1:12" x14ac:dyDescent="0.2">
      <c r="A10" s="1"/>
      <c r="B10" s="9">
        <v>3</v>
      </c>
      <c r="C10" s="10">
        <f>48010.111128*'[1]Salary Schedules'!F1</f>
        <v>48970.313350559998</v>
      </c>
      <c r="D10" s="11">
        <f t="shared" si="0"/>
        <v>2040.4297229399999</v>
      </c>
      <c r="E10" s="10">
        <f>51850.62288*'[1]Salary Schedules'!F1</f>
        <v>52887.635337600004</v>
      </c>
      <c r="F10" s="11">
        <f t="shared" si="1"/>
        <v>2203.6514724000003</v>
      </c>
      <c r="G10" s="10">
        <f>56141.086824*'[1]Salary Schedules'!F1</f>
        <v>57263.908560479998</v>
      </c>
      <c r="H10" s="11">
        <f t="shared" si="4"/>
        <v>2385.9961900200001</v>
      </c>
      <c r="I10" s="10">
        <f>56889.238464*'[1]Salary Schedules'!F1</f>
        <v>58027.023233280001</v>
      </c>
      <c r="J10" s="11">
        <f t="shared" si="2"/>
        <v>2417.79263472</v>
      </c>
      <c r="K10" s="10">
        <f>58766.515416*'[1]Salary Schedules'!F1</f>
        <v>59941.845724320003</v>
      </c>
      <c r="L10" s="11">
        <f t="shared" si="3"/>
        <v>2497.5769051800003</v>
      </c>
    </row>
    <row r="11" spans="1:12" x14ac:dyDescent="0.2">
      <c r="A11" s="1"/>
      <c r="B11" s="9">
        <v>4</v>
      </c>
      <c r="C11" s="10">
        <f>48985.36128*'[1]Salary Schedules'!F1</f>
        <v>49965.0685056</v>
      </c>
      <c r="D11" s="11">
        <f t="shared" si="0"/>
        <v>2081.8778544000002</v>
      </c>
      <c r="E11" s="10">
        <f>52915.014504*'[1]Salary Schedules'!F1</f>
        <v>53973.314794079997</v>
      </c>
      <c r="F11" s="11">
        <f t="shared" si="1"/>
        <v>2248.8881164199997</v>
      </c>
      <c r="G11" s="10">
        <f>57483.514944*'[1]Salary Schedules'!F1</f>
        <v>58633.185242880005</v>
      </c>
      <c r="H11" s="11">
        <f t="shared" si="4"/>
        <v>2443.0493851200004</v>
      </c>
      <c r="I11" s="10">
        <f>58234.850208*'[1]Salary Schedules'!F1</f>
        <v>59399.547212160003</v>
      </c>
      <c r="J11" s="11">
        <f t="shared" si="2"/>
        <v>2474.98113384</v>
      </c>
      <c r="K11" s="10">
        <f>60172.616016*'[1]Salary Schedules'!F1</f>
        <v>61376.068336320001</v>
      </c>
      <c r="L11" s="11">
        <f t="shared" si="3"/>
        <v>2557.3361806799999</v>
      </c>
    </row>
    <row r="12" spans="1:12" x14ac:dyDescent="0.2">
      <c r="A12" s="1"/>
      <c r="B12" s="9">
        <v>5</v>
      </c>
      <c r="C12" s="10">
        <f>49850.2458*'[1]Salary Schedules'!F1</f>
        <v>50847.250715999995</v>
      </c>
      <c r="D12" s="11">
        <f t="shared" si="0"/>
        <v>2118.6354464999999</v>
      </c>
      <c r="E12" s="10">
        <f>53821.286136*'[1]Salary Schedules'!F1</f>
        <v>54897.711858720002</v>
      </c>
      <c r="F12" s="11">
        <f t="shared" si="1"/>
        <v>2287.4046607800001</v>
      </c>
      <c r="G12" s="10">
        <f>58544.722944*'[1]Salary Schedules'!F1</f>
        <v>59715.617402880001</v>
      </c>
      <c r="H12" s="11">
        <f t="shared" si="4"/>
        <v>2488.1507251200001</v>
      </c>
      <c r="I12" s="10">
        <f>59261.038344*'[1]Salary Schedules'!F1</f>
        <v>60446.259110880004</v>
      </c>
      <c r="J12" s="11">
        <f t="shared" si="2"/>
        <v>2518.5941296200003</v>
      </c>
      <c r="K12" s="10">
        <f>61227.456768*'[1]Salary Schedules'!F1</f>
        <v>62452.005903359997</v>
      </c>
      <c r="L12" s="11">
        <f t="shared" si="3"/>
        <v>2602.1669126399997</v>
      </c>
    </row>
    <row r="13" spans="1:12" x14ac:dyDescent="0.2">
      <c r="A13" s="1"/>
      <c r="B13" s="9">
        <v>6</v>
      </c>
      <c r="C13" s="10">
        <f>51072.757416*'[1]Salary Schedules'!F1</f>
        <v>52094.212564319998</v>
      </c>
      <c r="D13" s="11">
        <f t="shared" si="0"/>
        <v>2170.5921901799998</v>
      </c>
      <c r="E13" s="10">
        <f>55119.14352*'[1]Salary Schedules'!F1</f>
        <v>56221.526390400002</v>
      </c>
      <c r="F13" s="11">
        <f t="shared" si="1"/>
        <v>2342.5635996000001</v>
      </c>
      <c r="G13" s="10">
        <f>60047.393472*'[1]Salary Schedules'!F1</f>
        <v>61248.341341440006</v>
      </c>
      <c r="H13" s="11">
        <f t="shared" si="4"/>
        <v>2552.0142225600002</v>
      </c>
      <c r="I13" s="10">
        <f>60772.198536*'[1]Salary Schedules'!F1</f>
        <v>61987.642506720003</v>
      </c>
      <c r="J13" s="11">
        <f t="shared" si="2"/>
        <v>2582.8184377800003</v>
      </c>
      <c r="K13" s="10">
        <f>62735.433336*'[1]Salary Schedules'!F1</f>
        <v>63990.14200272</v>
      </c>
      <c r="L13" s="11">
        <f t="shared" si="3"/>
        <v>2666.25591678</v>
      </c>
    </row>
    <row r="14" spans="1:12" x14ac:dyDescent="0.2">
      <c r="A14" s="1"/>
      <c r="B14" s="9">
        <v>7</v>
      </c>
      <c r="C14" s="10">
        <f>51698.870136*'[1]Salary Schedules'!F1</f>
        <v>52732.847538720001</v>
      </c>
      <c r="D14" s="11">
        <f t="shared" si="0"/>
        <v>2197.2019807800002</v>
      </c>
      <c r="E14" s="10">
        <f>55783.459728*'[1]Salary Schedules'!F1</f>
        <v>56899.128922560005</v>
      </c>
      <c r="F14" s="11">
        <f t="shared" si="1"/>
        <v>2370.7970384400001</v>
      </c>
      <c r="G14" s="10">
        <f>61053.418656*'[1]Salary Schedules'!F1</f>
        <v>62274.487029120006</v>
      </c>
      <c r="H14" s="11">
        <f t="shared" si="4"/>
        <v>2594.7702928800004</v>
      </c>
      <c r="I14" s="10">
        <f>61812.182376*'[1]Salary Schedules'!F1</f>
        <v>63048.426023519998</v>
      </c>
      <c r="J14" s="11">
        <f t="shared" si="2"/>
        <v>2627.0177509800001</v>
      </c>
      <c r="K14" s="10">
        <f>63696.887784*'[1]Salary Schedules'!F1</f>
        <v>64970.825539680001</v>
      </c>
      <c r="L14" s="11">
        <f t="shared" si="3"/>
        <v>2707.1177308199999</v>
      </c>
    </row>
    <row r="15" spans="1:12" x14ac:dyDescent="0.2">
      <c r="A15" s="1"/>
      <c r="B15" s="9">
        <v>8</v>
      </c>
      <c r="C15" s="10">
        <f>52717.629816*'[1]Salary Schedules'!F1</f>
        <v>53771.982412320001</v>
      </c>
      <c r="D15" s="11">
        <f t="shared" si="0"/>
        <v>2240.4992671800001</v>
      </c>
      <c r="E15" s="10">
        <f>56894.544504*'[1]Salary Schedules'!F1</f>
        <v>58032.435394079999</v>
      </c>
      <c r="F15" s="11">
        <f t="shared" si="1"/>
        <v>2418.0181414200001</v>
      </c>
      <c r="G15" s="10">
        <f>62255.76732*'[1]Salary Schedules'!F1</f>
        <v>63500.882666400001</v>
      </c>
      <c r="H15" s="11">
        <f t="shared" si="4"/>
        <v>2645.8701111</v>
      </c>
      <c r="I15" s="10">
        <f>63035.7552*'[1]Salary Schedules'!F1</f>
        <v>64296.470304000002</v>
      </c>
      <c r="J15" s="11">
        <f t="shared" si="2"/>
        <v>2679.0195960000001</v>
      </c>
      <c r="K15" s="10">
        <f>64896.052824*'[1]Salary Schedules'!F1</f>
        <v>66193.97388048</v>
      </c>
      <c r="L15" s="11">
        <f t="shared" si="3"/>
        <v>2758.0822450199998</v>
      </c>
    </row>
    <row r="16" spans="1:12" x14ac:dyDescent="0.2">
      <c r="A16" s="1"/>
      <c r="B16" s="9">
        <v>9</v>
      </c>
      <c r="C16" s="10">
        <f>53201.540664*'[1]Salary Schedules'!F1</f>
        <v>54265.571477279998</v>
      </c>
      <c r="D16" s="11">
        <f t="shared" si="0"/>
        <v>2261.0654782199999</v>
      </c>
      <c r="E16" s="10">
        <f>57423.026088*'[1]Salary Schedules'!F1</f>
        <v>58571.486609760002</v>
      </c>
      <c r="F16" s="11">
        <f t="shared" si="1"/>
        <v>2440.4786087400003</v>
      </c>
      <c r="G16" s="10">
        <f>63011.347416*'[1]Salary Schedules'!F1</f>
        <v>64271.574364319997</v>
      </c>
      <c r="H16" s="11">
        <f t="shared" si="4"/>
        <v>2677.98226518</v>
      </c>
      <c r="I16" s="10">
        <f>63778.6008*'[1]Salary Schedules'!F1</f>
        <v>65054.172815999998</v>
      </c>
      <c r="J16" s="11">
        <f t="shared" si="2"/>
        <v>2710.5905339999999</v>
      </c>
      <c r="K16" s="10">
        <f>66105.829944*'[1]Salary Schedules'!F1</f>
        <v>67427.946542880003</v>
      </c>
      <c r="L16" s="11">
        <f t="shared" si="3"/>
        <v>2809.49777262</v>
      </c>
    </row>
    <row r="17" spans="1:12" x14ac:dyDescent="0.2">
      <c r="A17" s="1"/>
      <c r="B17" s="9">
        <v>10</v>
      </c>
      <c r="C17" s="10">
        <f>54266.993496*'[1]Salary Schedules'!F1</f>
        <v>55352.333365920007</v>
      </c>
      <c r="D17" s="11">
        <f t="shared" si="0"/>
        <v>2306.3472235800004</v>
      </c>
      <c r="E17" s="10">
        <f>58581.865224*'[1]Salary Schedules'!F1</f>
        <v>59753.502528479999</v>
      </c>
      <c r="F17" s="11">
        <f t="shared" si="1"/>
        <v>2489.7292720199998</v>
      </c>
      <c r="G17" s="10">
        <f>64304.959968*'[1]Salary Schedules'!F1</f>
        <v>65591.059167359999</v>
      </c>
      <c r="H17" s="11">
        <f t="shared" si="4"/>
        <v>2732.9607986400001</v>
      </c>
      <c r="I17" s="10">
        <f>65043.560736*'[1]Salary Schedules'!F1</f>
        <v>66344.431950719998</v>
      </c>
      <c r="J17" s="11">
        <f t="shared" si="2"/>
        <v>2764.3513312800001</v>
      </c>
      <c r="K17" s="10">
        <f>66964.347216*'[1]Salary Schedules'!F1</f>
        <v>68303.634160319998</v>
      </c>
      <c r="L17" s="11">
        <f t="shared" si="3"/>
        <v>2845.9847566799999</v>
      </c>
    </row>
    <row r="18" spans="1:12" x14ac:dyDescent="0.2">
      <c r="A18" s="1"/>
      <c r="B18" s="9">
        <v>11</v>
      </c>
      <c r="C18" s="10">
        <f>55742.072616*'[1]Salary Schedules'!F1</f>
        <v>56856.914068320002</v>
      </c>
      <c r="D18" s="11">
        <f t="shared" si="0"/>
        <v>2369.0380861799999</v>
      </c>
      <c r="E18" s="10">
        <f>60148.208232*'[1]Salary Schedules'!F1</f>
        <v>61351.172396639995</v>
      </c>
      <c r="F18" s="11">
        <f t="shared" si="1"/>
        <v>2556.2988498599998</v>
      </c>
      <c r="G18" s="10">
        <f>66237.419736*'[1]Salary Schedules'!F1</f>
        <v>67562.168130719991</v>
      </c>
      <c r="H18" s="11">
        <f t="shared" si="4"/>
        <v>2815.0903387799995</v>
      </c>
      <c r="I18" s="10">
        <f>66939.939432*'[1]Salary Schedules'!F1</f>
        <v>68278.738220640007</v>
      </c>
      <c r="J18" s="11">
        <f t="shared" si="2"/>
        <v>2844.9474258600003</v>
      </c>
      <c r="K18" s="10">
        <f>68909.54148*'[1]Salary Schedules'!F1</f>
        <v>70287.732309600004</v>
      </c>
      <c r="L18" s="11">
        <f t="shared" si="3"/>
        <v>2928.6555129000003</v>
      </c>
    </row>
    <row r="19" spans="1:12" x14ac:dyDescent="0.2">
      <c r="A19" s="1"/>
      <c r="B19" s="9">
        <v>12</v>
      </c>
      <c r="C19" s="10">
        <f>57083.439528*'[1]Salary Schedules'!F1</f>
        <v>58225.10831856</v>
      </c>
      <c r="D19" s="11">
        <f t="shared" si="0"/>
        <v>2426.04617994</v>
      </c>
      <c r="E19" s="10">
        <f>61485.330312*'[1]Salary Schedules'!F1</f>
        <v>62715.036918240003</v>
      </c>
      <c r="F19" s="11">
        <f t="shared" si="1"/>
        <v>2613.12653826</v>
      </c>
      <c r="G19" s="10">
        <f>67691.274696*'[1]Salary Schedules'!F1</f>
        <v>69045.100189919991</v>
      </c>
      <c r="H19" s="11">
        <f t="shared" si="4"/>
        <v>2876.8791745799995</v>
      </c>
      <c r="I19" s="10">
        <f>68468.078952*'[1]Salary Schedules'!F1</f>
        <v>69837.440531040003</v>
      </c>
      <c r="J19" s="11">
        <f t="shared" si="2"/>
        <v>2909.8933554600003</v>
      </c>
      <c r="K19" s="10">
        <f>70337.927448*'[1]Salary Schedules'!F1</f>
        <v>71744.685996960005</v>
      </c>
      <c r="L19" s="11">
        <f t="shared" si="3"/>
        <v>2989.36191654</v>
      </c>
    </row>
    <row r="20" spans="1:12" x14ac:dyDescent="0.2">
      <c r="A20" s="1"/>
      <c r="B20" s="9">
        <v>13</v>
      </c>
      <c r="C20" s="10">
        <f>58444.969392*'[1]Salary Schedules'!F1</f>
        <v>59613.868779839999</v>
      </c>
      <c r="D20" s="11">
        <f t="shared" si="0"/>
        <v>2483.9111991599998</v>
      </c>
      <c r="E20" s="10">
        <f>62804.411856*'[1]Salary Schedules'!F1</f>
        <v>64060.500093119997</v>
      </c>
      <c r="F20" s="11">
        <f t="shared" si="1"/>
        <v>2669.1875038799999</v>
      </c>
      <c r="G20" s="10">
        <f>69301.127232*'[1]Salary Schedules'!F1</f>
        <v>70687.149776639999</v>
      </c>
      <c r="H20" s="11">
        <f t="shared" si="4"/>
        <v>2945.29790736</v>
      </c>
      <c r="I20" s="10">
        <f>70034.42196*'[1]Salary Schedules'!F1</f>
        <v>71435.110399200013</v>
      </c>
      <c r="J20" s="11">
        <f t="shared" si="2"/>
        <v>2976.4629333000007</v>
      </c>
      <c r="K20" s="10">
        <f>72005.085216*'[1]Salary Schedules'!F1</f>
        <v>73445.186920320004</v>
      </c>
      <c r="L20" s="11">
        <f t="shared" si="3"/>
        <v>3060.21612168</v>
      </c>
    </row>
    <row r="21" spans="1:12" x14ac:dyDescent="0.2">
      <c r="A21" s="1"/>
      <c r="B21" s="9">
        <v>14</v>
      </c>
      <c r="C21" s="10">
        <f>59716.296576*'[1]Salary Schedules'!F1</f>
        <v>60910.622507519998</v>
      </c>
      <c r="D21" s="11">
        <f t="shared" si="0"/>
        <v>2537.9426044799998</v>
      </c>
      <c r="E21" s="10">
        <f>64215.818496*'[1]Salary Schedules'!F1</f>
        <v>65500.134865920001</v>
      </c>
      <c r="F21" s="11">
        <f t="shared" si="1"/>
        <v>2729.17228608</v>
      </c>
      <c r="G21" s="10">
        <f>70735.880448*'[1]Salary Schedules'!F1</f>
        <v>72150.598056959992</v>
      </c>
      <c r="H21" s="11">
        <f t="shared" si="4"/>
        <v>3006.2749190399995</v>
      </c>
      <c r="I21" s="10">
        <f>71513.745912*'[1]Salary Schedules'!F1</f>
        <v>72944.020830239999</v>
      </c>
      <c r="J21" s="11">
        <f t="shared" si="2"/>
        <v>3039.3342012600001</v>
      </c>
      <c r="K21" s="10">
        <f>73371.92112*'[1]Salary Schedules'!F1</f>
        <v>74839.359542399994</v>
      </c>
      <c r="L21" s="11">
        <f t="shared" si="3"/>
        <v>3118.3066475999999</v>
      </c>
    </row>
    <row r="22" spans="1:12" x14ac:dyDescent="0.2">
      <c r="A22" s="1"/>
      <c r="B22" s="9">
        <v>15</v>
      </c>
      <c r="C22" s="10">
        <f>61082.071272*'[1]Salary Schedules'!F1</f>
        <v>62303.712697440002</v>
      </c>
      <c r="D22" s="11">
        <f t="shared" si="0"/>
        <v>2595.9880290599999</v>
      </c>
      <c r="E22" s="10">
        <f>65508.36984*'[1]Salary Schedules'!F1</f>
        <v>66818.537236799995</v>
      </c>
      <c r="F22" s="11">
        <f t="shared" si="1"/>
        <v>2784.1057182</v>
      </c>
      <c r="G22" s="10">
        <f>72300.10104*'[1]Salary Schedules'!F1</f>
        <v>73746.1030608</v>
      </c>
      <c r="H22" s="11">
        <f t="shared" si="4"/>
        <v>3072.7542942</v>
      </c>
      <c r="I22" s="10">
        <f>73066.293216*'[1]Salary Schedules'!F1</f>
        <v>74527.619080320001</v>
      </c>
      <c r="J22" s="11">
        <f t="shared" si="2"/>
        <v>3105.3174616800002</v>
      </c>
      <c r="K22" s="10">
        <f>74970.100368*'[1]Salary Schedules'!F1</f>
        <v>76469.502375359996</v>
      </c>
      <c r="L22" s="11">
        <f t="shared" si="3"/>
        <v>3186.22926564</v>
      </c>
    </row>
    <row r="23" spans="1:12" x14ac:dyDescent="0.2">
      <c r="A23" s="1"/>
      <c r="B23" s="9">
        <v>16</v>
      </c>
      <c r="C23" s="10">
        <f>61691.204664*'[1]Salary Schedules'!F1</f>
        <v>62925.028757280001</v>
      </c>
      <c r="D23" s="11">
        <f t="shared" si="0"/>
        <v>2621.8761982199999</v>
      </c>
      <c r="E23" s="10">
        <f>66118.56444*'[1]Salary Schedules'!F1</f>
        <v>67440.935728800003</v>
      </c>
      <c r="F23" s="11">
        <f t="shared" si="1"/>
        <v>2810.0389887000001</v>
      </c>
      <c r="G23" s="10">
        <f>72910.29564*'[1]Salary Schedules'!F1</f>
        <v>74368.501552799993</v>
      </c>
      <c r="H23" s="11">
        <f t="shared" si="4"/>
        <v>3098.6875646999997</v>
      </c>
      <c r="I23" s="10">
        <f>73676.487816*'[1]Salary Schedules'!F1</f>
        <v>75150.017572319994</v>
      </c>
      <c r="J23" s="11">
        <f t="shared" si="2"/>
        <v>3131.2507321799999</v>
      </c>
      <c r="K23" s="10">
        <f>75581.356176*'[1]Salary Schedules'!F1</f>
        <v>77092.983299519998</v>
      </c>
      <c r="L23" s="11">
        <f t="shared" si="3"/>
        <v>3212.2076374799999</v>
      </c>
    </row>
    <row r="24" spans="1:12" x14ac:dyDescent="0.2">
      <c r="A24" s="1"/>
      <c r="B24" s="9">
        <v>17</v>
      </c>
      <c r="C24" s="10">
        <f>62302.460472*'[1]Salary Schedules'!F1</f>
        <v>63548.509681440002</v>
      </c>
      <c r="D24" s="11">
        <f t="shared" si="0"/>
        <v>2647.8545700600002</v>
      </c>
      <c r="E24" s="10">
        <f>66729.820248*'[1]Salary Schedules'!F1</f>
        <v>68064.416652960004</v>
      </c>
      <c r="F24" s="11">
        <f t="shared" si="1"/>
        <v>2836.01736054</v>
      </c>
      <c r="G24" s="10">
        <f>73520.49024*'[1]Salary Schedules'!F1</f>
        <v>74990.900044800001</v>
      </c>
      <c r="H24" s="11">
        <f t="shared" si="4"/>
        <v>3124.6208351999999</v>
      </c>
      <c r="I24" s="10">
        <f>74286.682416*'[1]Salary Schedules'!F1</f>
        <v>75772.416064320001</v>
      </c>
      <c r="J24" s="11">
        <f t="shared" si="2"/>
        <v>3157.18400268</v>
      </c>
      <c r="K24" s="10">
        <f>76190.489568*'[1]Salary Schedules'!F1</f>
        <v>77714.299359360011</v>
      </c>
      <c r="L24" s="11">
        <f t="shared" si="3"/>
        <v>3238.0958066400003</v>
      </c>
    </row>
    <row r="25" spans="1:12" x14ac:dyDescent="0.2">
      <c r="A25" s="1"/>
      <c r="B25" s="9">
        <v>18</v>
      </c>
      <c r="C25" s="10">
        <f>63159.916536*'[1]Salary Schedules'!F1</f>
        <v>64423.114866719996</v>
      </c>
      <c r="D25" s="11">
        <f t="shared" si="0"/>
        <v>2684.29645278</v>
      </c>
      <c r="E25" s="10">
        <f>67678.5402*'[1]Salary Schedules'!F1</f>
        <v>69032.111004000006</v>
      </c>
      <c r="F25" s="11">
        <f t="shared" si="1"/>
        <v>2876.3379585000002</v>
      </c>
      <c r="G25" s="10">
        <f>74607.167232*'[1]Salary Schedules'!F1</f>
        <v>76099.310576640011</v>
      </c>
      <c r="H25" s="11">
        <f t="shared" si="4"/>
        <v>3170.8046073600003</v>
      </c>
      <c r="I25" s="10">
        <f>75389.277528*'[1]Salary Schedules'!F1</f>
        <v>76897.063078560008</v>
      </c>
      <c r="J25" s="11">
        <f t="shared" si="2"/>
        <v>3204.0442949400003</v>
      </c>
      <c r="K25" s="10">
        <f>77330.22696*'[1]Salary Schedules'!F1</f>
        <v>78876.831499199994</v>
      </c>
      <c r="L25" s="11">
        <f t="shared" si="3"/>
        <v>3286.5346457999999</v>
      </c>
    </row>
    <row r="26" spans="1:12" x14ac:dyDescent="0.2">
      <c r="A26" s="1"/>
      <c r="B26" s="9">
        <v>19</v>
      </c>
      <c r="C26" s="12">
        <f>C25*1.02</f>
        <v>65711.577164054397</v>
      </c>
      <c r="D26" s="11">
        <f t="shared" si="0"/>
        <v>2737.9823818355999</v>
      </c>
      <c r="E26" s="12">
        <f>E25*1.02</f>
        <v>70412.753224080006</v>
      </c>
      <c r="F26" s="11">
        <f t="shared" si="1"/>
        <v>2933.8647176700001</v>
      </c>
      <c r="G26" s="12">
        <f t="shared" ref="G26" si="5">G25*1.02</f>
        <v>77621.296788172811</v>
      </c>
      <c r="H26" s="11">
        <f t="shared" si="4"/>
        <v>3234.2206995072006</v>
      </c>
      <c r="I26" s="12">
        <f t="shared" ref="I26" si="6">I25*1.02</f>
        <v>78435.004340131214</v>
      </c>
      <c r="J26" s="11">
        <f t="shared" si="2"/>
        <v>3268.1251808388006</v>
      </c>
      <c r="K26" s="12">
        <f t="shared" ref="K26" si="7">K25*1.02</f>
        <v>80454.368129183989</v>
      </c>
      <c r="L26" s="11">
        <f t="shared" si="3"/>
        <v>3352.2653387159994</v>
      </c>
    </row>
    <row r="27" spans="1:12" x14ac:dyDescent="0.2">
      <c r="A27" s="1"/>
      <c r="B27" s="1"/>
      <c r="C27" s="1"/>
      <c r="D27" s="1"/>
      <c r="E27" s="1"/>
      <c r="F27" s="1"/>
      <c r="G27" s="1"/>
      <c r="H27" s="1"/>
      <c r="I27" s="1"/>
      <c r="J27" s="1"/>
      <c r="K27" s="1"/>
      <c r="L27" s="1"/>
    </row>
    <row r="28" spans="1:12" ht="66" customHeight="1" x14ac:dyDescent="0.2">
      <c r="A28" s="1"/>
      <c r="B28" s="13" t="s">
        <v>11</v>
      </c>
      <c r="C28" s="13"/>
      <c r="D28" s="13"/>
      <c r="E28" s="13"/>
      <c r="F28" s="13"/>
      <c r="G28" s="13"/>
      <c r="H28" s="13"/>
      <c r="I28" s="13"/>
      <c r="J28" s="13"/>
      <c r="K28" s="13"/>
      <c r="L28" s="13"/>
    </row>
  </sheetData>
  <mergeCells count="9">
    <mergeCell ref="B28:L28"/>
    <mergeCell ref="B1:L1"/>
    <mergeCell ref="B2:L2"/>
    <mergeCell ref="B3:L3"/>
    <mergeCell ref="C5:D5"/>
    <mergeCell ref="E5:F5"/>
    <mergeCell ref="G5:H5"/>
    <mergeCell ref="I5:J5"/>
    <mergeCell ref="K5:L5"/>
  </mergeCells>
  <pageMargins left="0.45" right="0.7" top="0.75" bottom="0.75" header="0.3" footer="0.3"/>
  <pageSetup orientation="landscape"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20C52C853E42F4FB2601CB9C87AA890" ma:contentTypeVersion="16" ma:contentTypeDescription="Create a new document." ma:contentTypeScope="" ma:versionID="ee2353459fbb16090321640be1352617">
  <xsd:schema xmlns:xsd="http://www.w3.org/2001/XMLSchema" xmlns:xs="http://www.w3.org/2001/XMLSchema" xmlns:p="http://schemas.microsoft.com/office/2006/metadata/properties" xmlns:ns2="0a3f050b-d0f1-4117-bf0c-2e8f12e134b2" xmlns:ns3="4ec96fca-ce05-44b1-b63a-124b2f30cc50" targetNamespace="http://schemas.microsoft.com/office/2006/metadata/properties" ma:root="true" ma:fieldsID="f352be760621c735de936402294ebb4e" ns2:_="" ns3:_="">
    <xsd:import namespace="0a3f050b-d0f1-4117-bf0c-2e8f12e134b2"/>
    <xsd:import namespace="4ec96fca-ce05-44b1-b63a-124b2f30cc5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3:SharedWithUsers" minOccurs="0"/>
                <xsd:element ref="ns3:SharedWithDetails" minOccurs="0"/>
                <xsd:element ref="ns2:MediaServiceLocation" minOccurs="0"/>
                <xsd:element ref="ns2:MediaServiceOCR" minOccurs="0"/>
                <xsd:element ref="ns2:MediaServiceAutoKeyPoints" minOccurs="0"/>
                <xsd:element ref="ns2:MediaServiceKeyPoints"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a3f050b-d0f1-4117-bf0c-2e8f12e134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ec96fca-ce05-44b1-b63a-124b2f30cc50"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5"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1C04F89-3FAF-429E-B0FC-86C30EEAD0AB}"/>
</file>

<file path=customXml/itemProps2.xml><?xml version="1.0" encoding="utf-8"?>
<ds:datastoreItem xmlns:ds="http://schemas.openxmlformats.org/officeDocument/2006/customXml" ds:itemID="{39055941-6389-4976-A22B-95E57C09DCE5}"/>
</file>

<file path=customXml/itemProps3.xml><?xml version="1.0" encoding="utf-8"?>
<ds:datastoreItem xmlns:ds="http://schemas.openxmlformats.org/officeDocument/2006/customXml" ds:itemID="{DABBBA47-E425-4AA5-9DFB-70D11F79265D}"/>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2021-06-15T21:16:46Z</dcterms:created>
  <dcterms:modified xsi:type="dcterms:W3CDTF">2021-06-15T21:21:10Z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0x010100B20C52C853E42F4FB2601CB9C87AA890</vt:lpwstr>
  </property>
</Properties>
</file>