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512"/>
  <workbookPr showInkAnnotation="0" checkCompatibility="1" autoCompressPictures="0"/>
  <mc:AlternateContent xmlns:mc="http://schemas.openxmlformats.org/markup-compatibility/2006">
    <mc:Choice Requires="x15">
      <x15ac:absPath xmlns:x15ac="http://schemas.microsoft.com/office/spreadsheetml/2010/11/ac" url="/Users/debbiecannady/Documents/"/>
    </mc:Choice>
  </mc:AlternateContent>
  <xr:revisionPtr revIDLastSave="0" documentId="13_ncr:1_{FFAE282B-EC5E-F343-BCC1-89A1108B0BAB}" xr6:coauthVersionLast="36" xr6:coauthVersionMax="36" xr10:uidLastSave="{00000000-0000-0000-0000-000000000000}"/>
  <bookViews>
    <workbookView xWindow="4700" yWindow="1200" windowWidth="27980" windowHeight="17540" tabRatio="959" activeTab="1" xr2:uid="{00000000-000D-0000-FFFF-FFFF00000000}"/>
  </bookViews>
  <sheets>
    <sheet name="TSS" sheetId="1" r:id="rId1"/>
    <sheet name="GC" sheetId="3" r:id="rId2"/>
    <sheet name="STOT" sheetId="2" r:id="rId3"/>
  </sheets>
  <calcPr calcId="181029"/>
  <extLst>
    <ext xmlns:mx="http://schemas.microsoft.com/office/mac/excel/2008/main" uri="{7523E5D3-25F3-A5E0-1632-64F254C22452}">
      <mx:ArchID Flags="2"/>
    </ext>
  </extLst>
</workbook>
</file>

<file path=xl/calcChain.xml><?xml version="1.0" encoding="utf-8"?>
<calcChain xmlns="http://schemas.openxmlformats.org/spreadsheetml/2006/main">
  <c r="L25" i="2" l="1"/>
  <c r="L17" i="2"/>
  <c r="L9" i="2"/>
  <c r="J20" i="2"/>
  <c r="J12" i="2"/>
  <c r="F26" i="2"/>
  <c r="F18" i="2"/>
  <c r="F10" i="2"/>
  <c r="D21" i="2"/>
  <c r="D13" i="2"/>
  <c r="J23" i="3"/>
  <c r="J15" i="3"/>
  <c r="H26" i="3"/>
  <c r="H18" i="3"/>
  <c r="H10" i="3"/>
  <c r="F21" i="3"/>
  <c r="F13" i="3"/>
  <c r="D24" i="3"/>
  <c r="D16" i="3"/>
  <c r="D8" i="3"/>
  <c r="K20" i="1"/>
  <c r="K12" i="1"/>
  <c r="I23" i="1"/>
  <c r="I15" i="1"/>
  <c r="I7" i="1"/>
  <c r="G18" i="1"/>
  <c r="G10" i="1"/>
  <c r="E21" i="1"/>
  <c r="E13" i="1"/>
  <c r="J26" i="3"/>
  <c r="F26" i="3"/>
  <c r="D26" i="3"/>
  <c r="J25" i="3"/>
  <c r="H25" i="3"/>
  <c r="F25" i="3"/>
  <c r="D25" i="3"/>
  <c r="J24" i="3"/>
  <c r="H24" i="3"/>
  <c r="F24" i="3"/>
  <c r="H23" i="3"/>
  <c r="F23" i="3"/>
  <c r="D23" i="3"/>
  <c r="J22" i="3"/>
  <c r="H22" i="3"/>
  <c r="F22" i="3"/>
  <c r="D22" i="3"/>
  <c r="J21" i="3"/>
  <c r="H21" i="3"/>
  <c r="D21" i="3"/>
  <c r="J20" i="3"/>
  <c r="H20" i="3"/>
  <c r="F20" i="3"/>
  <c r="D20" i="3"/>
  <c r="J19" i="3"/>
  <c r="H19" i="3"/>
  <c r="F19" i="3"/>
  <c r="D19" i="3"/>
  <c r="J18" i="3"/>
  <c r="F18" i="3"/>
  <c r="D18" i="3"/>
  <c r="J17" i="3"/>
  <c r="H17" i="3"/>
  <c r="F17" i="3"/>
  <c r="D17" i="3"/>
  <c r="J16" i="3"/>
  <c r="H16" i="3"/>
  <c r="F16" i="3"/>
  <c r="H15" i="3"/>
  <c r="F15" i="3"/>
  <c r="D15" i="3"/>
  <c r="J14" i="3"/>
  <c r="H14" i="3"/>
  <c r="F14" i="3"/>
  <c r="D14" i="3"/>
  <c r="J13" i="3"/>
  <c r="H13" i="3"/>
  <c r="D13" i="3"/>
  <c r="J12" i="3"/>
  <c r="H12" i="3"/>
  <c r="F12" i="3"/>
  <c r="D12" i="3"/>
  <c r="J11" i="3"/>
  <c r="H11" i="3"/>
  <c r="F11" i="3"/>
  <c r="D11" i="3"/>
  <c r="J10" i="3"/>
  <c r="F10" i="3"/>
  <c r="D10" i="3"/>
  <c r="J9" i="3"/>
  <c r="H9" i="3"/>
  <c r="F9" i="3"/>
  <c r="D9" i="3"/>
  <c r="J8" i="3"/>
  <c r="H8" i="3"/>
  <c r="F8" i="3"/>
  <c r="C7" i="2"/>
  <c r="L10" i="2"/>
  <c r="L11" i="2"/>
  <c r="L12" i="2"/>
  <c r="L13" i="2"/>
  <c r="L14" i="2"/>
  <c r="L15" i="2"/>
  <c r="L16" i="2"/>
  <c r="L18" i="2"/>
  <c r="L19" i="2"/>
  <c r="L20" i="2"/>
  <c r="L21" i="2"/>
  <c r="L22" i="2"/>
  <c r="L23" i="2"/>
  <c r="L24" i="2"/>
  <c r="L26" i="2"/>
  <c r="L27" i="2"/>
  <c r="J10" i="2"/>
  <c r="J11" i="2"/>
  <c r="J13" i="2"/>
  <c r="J14" i="2"/>
  <c r="J15" i="2"/>
  <c r="J16" i="2"/>
  <c r="J17" i="2"/>
  <c r="J18" i="2"/>
  <c r="J19" i="2"/>
  <c r="J21" i="2"/>
  <c r="J22" i="2"/>
  <c r="J23" i="2"/>
  <c r="J24" i="2"/>
  <c r="J25" i="2"/>
  <c r="J26" i="2"/>
  <c r="J27" i="2"/>
  <c r="J9" i="2"/>
  <c r="H10" i="2"/>
  <c r="H11" i="2"/>
  <c r="H12" i="2"/>
  <c r="H13" i="2"/>
  <c r="H14" i="2"/>
  <c r="H15" i="2"/>
  <c r="H16" i="2"/>
  <c r="H17" i="2"/>
  <c r="H18" i="2"/>
  <c r="H19" i="2"/>
  <c r="H20" i="2"/>
  <c r="H21" i="2"/>
  <c r="H22" i="2"/>
  <c r="H23" i="2"/>
  <c r="H24" i="2"/>
  <c r="H25" i="2"/>
  <c r="H26" i="2"/>
  <c r="H27" i="2"/>
  <c r="H9" i="2"/>
  <c r="F11" i="2"/>
  <c r="F12" i="2"/>
  <c r="F13" i="2"/>
  <c r="F14" i="2"/>
  <c r="F15" i="2"/>
  <c r="F16" i="2"/>
  <c r="F17" i="2"/>
  <c r="F19" i="2"/>
  <c r="F20" i="2"/>
  <c r="F21" i="2"/>
  <c r="F22" i="2"/>
  <c r="F23" i="2"/>
  <c r="F24" i="2"/>
  <c r="F25" i="2"/>
  <c r="F27" i="2"/>
  <c r="F9" i="2"/>
  <c r="D10" i="2"/>
  <c r="D11" i="2"/>
  <c r="D12" i="2"/>
  <c r="D14" i="2"/>
  <c r="D15" i="2"/>
  <c r="D16" i="2"/>
  <c r="D17" i="2"/>
  <c r="D18" i="2"/>
  <c r="D19" i="2"/>
  <c r="D20" i="2"/>
  <c r="D22" i="2"/>
  <c r="D23" i="2"/>
  <c r="D24" i="2"/>
  <c r="D25" i="2"/>
  <c r="D26" i="2"/>
  <c r="D27" i="2"/>
  <c r="D9" i="2"/>
  <c r="G8" i="1"/>
  <c r="K8" i="1"/>
  <c r="K9" i="1"/>
  <c r="K10" i="1"/>
  <c r="K11" i="1"/>
  <c r="K13" i="1"/>
  <c r="K14" i="1"/>
  <c r="K15" i="1"/>
  <c r="K16" i="1"/>
  <c r="K17" i="1"/>
  <c r="K18" i="1"/>
  <c r="K19" i="1"/>
  <c r="K21" i="1"/>
  <c r="K22" i="1"/>
  <c r="K23" i="1"/>
  <c r="K24" i="1"/>
  <c r="K25" i="1"/>
  <c r="K7" i="1"/>
  <c r="I8" i="1"/>
  <c r="I9" i="1"/>
  <c r="I10" i="1"/>
  <c r="I11" i="1"/>
  <c r="I12" i="1"/>
  <c r="I13" i="1"/>
  <c r="I14" i="1"/>
  <c r="I16" i="1"/>
  <c r="I17" i="1"/>
  <c r="I18" i="1"/>
  <c r="I19" i="1"/>
  <c r="I20" i="1"/>
  <c r="I21" i="1"/>
  <c r="I22" i="1"/>
  <c r="I24" i="1"/>
  <c r="I25" i="1"/>
  <c r="G9" i="1"/>
  <c r="G11" i="1"/>
  <c r="G12" i="1"/>
  <c r="G13" i="1"/>
  <c r="G14" i="1"/>
  <c r="G15" i="1"/>
  <c r="G16" i="1"/>
  <c r="G17" i="1"/>
  <c r="G19" i="1"/>
  <c r="G20" i="1"/>
  <c r="G21" i="1"/>
  <c r="G22" i="1"/>
  <c r="G23" i="1"/>
  <c r="G24" i="1"/>
  <c r="G25" i="1"/>
  <c r="G7" i="1"/>
  <c r="E8" i="1"/>
  <c r="E9" i="1"/>
  <c r="E10" i="1"/>
  <c r="E11" i="1"/>
  <c r="E12" i="1"/>
  <c r="E14" i="1"/>
  <c r="E15" i="1"/>
  <c r="E16" i="1"/>
  <c r="E17" i="1"/>
  <c r="E18" i="1"/>
  <c r="E19" i="1"/>
  <c r="E20" i="1"/>
  <c r="E22" i="1"/>
  <c r="E23" i="1"/>
  <c r="E24" i="1"/>
  <c r="E25" i="1"/>
  <c r="E7" i="1"/>
  <c r="C8" i="1"/>
  <c r="C9" i="1"/>
  <c r="C10" i="1"/>
  <c r="C11" i="1"/>
  <c r="C12" i="1"/>
  <c r="C13" i="1"/>
  <c r="C14" i="1"/>
  <c r="C15" i="1"/>
  <c r="C16" i="1"/>
  <c r="C17" i="1"/>
  <c r="C18" i="1"/>
  <c r="C19" i="1"/>
  <c r="C20" i="1"/>
  <c r="C21" i="1"/>
  <c r="C22" i="1"/>
  <c r="C23" i="1"/>
  <c r="C24" i="1"/>
  <c r="C25" i="1"/>
  <c r="C7" i="1"/>
</calcChain>
</file>

<file path=xl/sharedStrings.xml><?xml version="1.0" encoding="utf-8"?>
<sst xmlns="http://schemas.openxmlformats.org/spreadsheetml/2006/main" count="59" uniqueCount="21">
  <si>
    <t>Step</t>
  </si>
  <si>
    <t>Bachelor's Degree</t>
  </si>
  <si>
    <t>Annual</t>
  </si>
  <si>
    <t>Master's Degree*</t>
  </si>
  <si>
    <t>MA+45 Degree*</t>
  </si>
  <si>
    <t>ED.S Degree*</t>
  </si>
  <si>
    <t>Doctorate Degree*</t>
  </si>
  <si>
    <t>ARLINGTON COMMUNITY SCHOOLS</t>
  </si>
  <si>
    <t>TEACHER SALARY SCHEDULE</t>
  </si>
  <si>
    <t>Semi-Monthly</t>
  </si>
  <si>
    <t xml:space="preserve">THERAPY SCHEDULE </t>
  </si>
  <si>
    <t>10+</t>
  </si>
  <si>
    <t>Other Years Service</t>
  </si>
  <si>
    <t>Master's Degree</t>
  </si>
  <si>
    <t>MA+45 Degree</t>
  </si>
  <si>
    <t>ED.S Degree</t>
  </si>
  <si>
    <t>Doctorate Degree</t>
  </si>
  <si>
    <t>HIGH SCHOOL GUIDANCE COUNSELORS</t>
  </si>
  <si>
    <t>SPEECH THERAPY, OCCUPATIONAL THERAPY</t>
  </si>
  <si>
    <t>*ACS recognizes up to 10 years of outside teaching experience from an accredited school upon verification of the experience being provided by the teacher on official reporting forms for salary purposes.  If a teacher is hired to fill one of our hard to staff areas as outlined in our Differentiated Pay Plan, then year to year parity is recognized up to 18 years of outside teaching experience from an accredited school upon verification of the experience being provided by the teacher on official reporting forms for salary purposes</t>
  </si>
  <si>
    <t>SALARY SCHEDULE 2019-2020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</si>
</sst>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5" formatCode="&quot;$&quot;#,##0_);\(&quot;$&quot;#,##0\)"/>
    <numFmt numFmtId="43" formatCode="_(* #,##0.00_);_(* \(#,##0.00\);_(* &quot;-&quot;??_);_(@_)"/>
    <numFmt numFmtId="164" formatCode="&quot;$&quot;#,##0"/>
    <numFmt numFmtId="165" formatCode="&quot;$&quot;#,##0.00"/>
  </numFmts>
  <fonts count="8" x14ac:knownFonts="1">
    <font>
      <sz val="12"/>
      <color theme="1"/>
      <name val="Calibri"/>
      <family val="2"/>
      <scheme val="minor"/>
    </font>
    <font>
      <sz val="12"/>
      <color theme="1"/>
      <name val="Calibri"/>
      <family val="2"/>
      <scheme val="minor"/>
    </font>
    <font>
      <b/>
      <sz val="12"/>
      <color theme="1"/>
      <name val="Calibri"/>
      <family val="2"/>
      <scheme val="minor"/>
    </font>
    <font>
      <u/>
      <sz val="12"/>
      <color theme="10"/>
      <name val="Calibri"/>
      <family val="2"/>
      <scheme val="minor"/>
    </font>
    <font>
      <u/>
      <sz val="12"/>
      <color theme="11"/>
      <name val="Calibri"/>
      <family val="2"/>
      <scheme val="minor"/>
    </font>
    <font>
      <sz val="8"/>
      <name val="Calibri"/>
      <family val="2"/>
      <scheme val="minor"/>
    </font>
    <font>
      <sz val="12"/>
      <color rgb="FF000000"/>
      <name val="Calibri"/>
      <family val="2"/>
      <scheme val="minor"/>
    </font>
    <font>
      <b/>
      <i/>
      <sz val="10"/>
      <color theme="1"/>
      <name val="Cambria"/>
      <family val="1"/>
    </font>
  </fonts>
  <fills count="8">
    <fill>
      <patternFill patternType="none"/>
    </fill>
    <fill>
      <patternFill patternType="gray125"/>
    </fill>
    <fill>
      <patternFill patternType="solid">
        <fgColor theme="2" tint="-0.249977111117893"/>
        <bgColor indexed="64"/>
      </patternFill>
    </fill>
    <fill>
      <patternFill patternType="solid">
        <fgColor theme="9" tint="0.59999389629810485"/>
        <bgColor indexed="64"/>
      </patternFill>
    </fill>
    <fill>
      <patternFill patternType="solid">
        <fgColor theme="8" tint="0.59999389629810485"/>
        <bgColor indexed="64"/>
      </patternFill>
    </fill>
    <fill>
      <patternFill patternType="solid">
        <fgColor theme="5" tint="0.59999389629810485"/>
        <bgColor indexed="64"/>
      </patternFill>
    </fill>
    <fill>
      <patternFill patternType="solid">
        <fgColor theme="6" tint="0.59999389629810485"/>
        <bgColor indexed="64"/>
      </patternFill>
    </fill>
    <fill>
      <patternFill patternType="solid">
        <fgColor theme="7" tint="0.59999389629810485"/>
        <bgColor indexed="64"/>
      </patternFill>
    </fill>
  </fills>
  <borders count="6">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s>
  <cellStyleXfs count="415">
    <xf numFmtId="0" fontId="0" fillId="0" borderId="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cellStyleXfs>
  <cellXfs count="52">
    <xf numFmtId="0" fontId="0" fillId="0" borderId="0" xfId="0"/>
    <xf numFmtId="0" fontId="2" fillId="0" borderId="0" xfId="0" applyFont="1" applyAlignment="1">
      <alignment horizontal="centerContinuous"/>
    </xf>
    <xf numFmtId="0" fontId="0" fillId="0" borderId="0" xfId="0" applyAlignment="1">
      <alignment horizontal="centerContinuous"/>
    </xf>
    <xf numFmtId="0" fontId="7" fillId="0" borderId="0" xfId="0" applyFont="1" applyAlignment="1">
      <alignment wrapText="1"/>
    </xf>
    <xf numFmtId="0" fontId="0" fillId="0" borderId="0" xfId="0" applyAlignment="1">
      <alignment wrapText="1"/>
    </xf>
    <xf numFmtId="0" fontId="0" fillId="2" borderId="2" xfId="0" applyFill="1" applyBorder="1" applyAlignment="1">
      <alignment horizontal="center" vertical="center"/>
    </xf>
    <xf numFmtId="0" fontId="0" fillId="2" borderId="3" xfId="0" applyFill="1" applyBorder="1" applyAlignment="1">
      <alignment horizontal="center" vertical="center"/>
    </xf>
    <xf numFmtId="0" fontId="0" fillId="2" borderId="1" xfId="0" applyFill="1" applyBorder="1" applyAlignment="1">
      <alignment horizontal="center"/>
    </xf>
    <xf numFmtId="0" fontId="0" fillId="2" borderId="1" xfId="0" applyFill="1" applyBorder="1" applyAlignment="1">
      <alignment horizontal="center" wrapText="1"/>
    </xf>
    <xf numFmtId="0" fontId="0" fillId="2" borderId="1" xfId="0" applyFill="1" applyBorder="1"/>
    <xf numFmtId="0" fontId="0" fillId="2" borderId="1" xfId="0" applyFill="1" applyBorder="1" applyAlignment="1">
      <alignment horizontal="center" vertical="center"/>
    </xf>
    <xf numFmtId="0" fontId="0" fillId="2" borderId="1" xfId="0" applyFill="1" applyBorder="1" applyAlignment="1"/>
    <xf numFmtId="0" fontId="0" fillId="2" borderId="1" xfId="0" applyFill="1" applyBorder="1" applyAlignment="1">
      <alignment vertical="center"/>
    </xf>
    <xf numFmtId="0" fontId="0" fillId="3" borderId="1" xfId="0" applyFill="1" applyBorder="1" applyAlignment="1">
      <alignment horizontal="center"/>
    </xf>
    <xf numFmtId="0" fontId="0" fillId="3" borderId="1" xfId="0" applyFill="1" applyBorder="1" applyAlignment="1">
      <alignment horizontal="center"/>
    </xf>
    <xf numFmtId="164" fontId="1" fillId="3" borderId="1" xfId="0" applyNumberFormat="1" applyFont="1" applyFill="1" applyBorder="1"/>
    <xf numFmtId="43" fontId="0" fillId="3" borderId="1" xfId="0" applyNumberFormat="1" applyFill="1" applyBorder="1"/>
    <xf numFmtId="0" fontId="0" fillId="3" borderId="4" xfId="0" applyFill="1" applyBorder="1" applyAlignment="1">
      <alignment horizontal="center"/>
    </xf>
    <xf numFmtId="0" fontId="0" fillId="3" borderId="5" xfId="0" applyFill="1" applyBorder="1" applyAlignment="1">
      <alignment horizontal="center"/>
    </xf>
    <xf numFmtId="165" fontId="0" fillId="3" borderId="1" xfId="0" applyNumberFormat="1" applyFill="1" applyBorder="1"/>
    <xf numFmtId="0" fontId="0" fillId="4" borderId="4" xfId="0" applyFill="1" applyBorder="1" applyAlignment="1">
      <alignment horizontal="center"/>
    </xf>
    <xf numFmtId="0" fontId="0" fillId="4" borderId="5" xfId="0" applyFill="1" applyBorder="1" applyAlignment="1">
      <alignment horizontal="center"/>
    </xf>
    <xf numFmtId="0" fontId="0" fillId="4" borderId="1" xfId="0" applyFill="1" applyBorder="1" applyAlignment="1">
      <alignment horizontal="center"/>
    </xf>
    <xf numFmtId="164" fontId="1" fillId="4" borderId="1" xfId="0" applyNumberFormat="1" applyFont="1" applyFill="1" applyBorder="1"/>
    <xf numFmtId="165" fontId="0" fillId="4" borderId="1" xfId="0" applyNumberFormat="1" applyFill="1" applyBorder="1"/>
    <xf numFmtId="5" fontId="6" fillId="4" borderId="1" xfId="0" applyNumberFormat="1" applyFont="1" applyFill="1" applyBorder="1"/>
    <xf numFmtId="0" fontId="0" fillId="4" borderId="1" xfId="0" applyFill="1" applyBorder="1" applyAlignment="1">
      <alignment horizontal="center"/>
    </xf>
    <xf numFmtId="43" fontId="0" fillId="4" borderId="1" xfId="0" applyNumberFormat="1" applyFill="1" applyBorder="1"/>
    <xf numFmtId="0" fontId="0" fillId="5" borderId="1" xfId="0" applyFill="1" applyBorder="1" applyAlignment="1">
      <alignment horizontal="center"/>
    </xf>
    <xf numFmtId="0" fontId="0" fillId="5" borderId="1" xfId="0" applyFill="1" applyBorder="1" applyAlignment="1">
      <alignment horizontal="center"/>
    </xf>
    <xf numFmtId="164" fontId="1" fillId="5" borderId="1" xfId="0" applyNumberFormat="1" applyFont="1" applyFill="1" applyBorder="1"/>
    <xf numFmtId="43" fontId="0" fillId="5" borderId="1" xfId="0" applyNumberFormat="1" applyFill="1" applyBorder="1"/>
    <xf numFmtId="0" fontId="0" fillId="5" borderId="4" xfId="0" applyFill="1" applyBorder="1" applyAlignment="1">
      <alignment horizontal="center"/>
    </xf>
    <xf numFmtId="0" fontId="0" fillId="5" borderId="5" xfId="0" applyFill="1" applyBorder="1" applyAlignment="1">
      <alignment horizontal="center"/>
    </xf>
    <xf numFmtId="164" fontId="0" fillId="5" borderId="1" xfId="0" applyNumberFormat="1" applyFill="1" applyBorder="1"/>
    <xf numFmtId="165" fontId="0" fillId="5" borderId="1" xfId="0" applyNumberFormat="1" applyFill="1" applyBorder="1"/>
    <xf numFmtId="0" fontId="0" fillId="6" borderId="4" xfId="0" applyFill="1" applyBorder="1" applyAlignment="1">
      <alignment horizontal="center"/>
    </xf>
    <xf numFmtId="0" fontId="0" fillId="6" borderId="5" xfId="0" applyFill="1" applyBorder="1" applyAlignment="1">
      <alignment horizontal="center"/>
    </xf>
    <xf numFmtId="0" fontId="0" fillId="6" borderId="1" xfId="0" applyFill="1" applyBorder="1" applyAlignment="1">
      <alignment horizontal="center"/>
    </xf>
    <xf numFmtId="164" fontId="1" fillId="6" borderId="1" xfId="0" applyNumberFormat="1" applyFont="1" applyFill="1" applyBorder="1"/>
    <xf numFmtId="165" fontId="0" fillId="6" borderId="1" xfId="0" applyNumberFormat="1" applyFill="1" applyBorder="1"/>
    <xf numFmtId="164" fontId="0" fillId="6" borderId="1" xfId="0" applyNumberFormat="1" applyFill="1" applyBorder="1"/>
    <xf numFmtId="0" fontId="0" fillId="6" borderId="1" xfId="0" applyFill="1" applyBorder="1" applyAlignment="1">
      <alignment horizontal="center"/>
    </xf>
    <xf numFmtId="43" fontId="0" fillId="6" borderId="1" xfId="0" applyNumberFormat="1" applyFill="1" applyBorder="1"/>
    <xf numFmtId="0" fontId="0" fillId="7" borderId="1" xfId="0" applyFill="1" applyBorder="1" applyAlignment="1">
      <alignment horizontal="center"/>
    </xf>
    <xf numFmtId="0" fontId="0" fillId="7" borderId="1" xfId="0" applyFill="1" applyBorder="1" applyAlignment="1">
      <alignment horizontal="center"/>
    </xf>
    <xf numFmtId="164" fontId="1" fillId="7" borderId="1" xfId="0" applyNumberFormat="1" applyFont="1" applyFill="1" applyBorder="1"/>
    <xf numFmtId="43" fontId="0" fillId="7" borderId="1" xfId="0" applyNumberFormat="1" applyFill="1" applyBorder="1"/>
    <xf numFmtId="0" fontId="0" fillId="7" borderId="4" xfId="0" applyFill="1" applyBorder="1" applyAlignment="1">
      <alignment horizontal="center"/>
    </xf>
    <xf numFmtId="0" fontId="0" fillId="7" borderId="5" xfId="0" applyFill="1" applyBorder="1" applyAlignment="1">
      <alignment horizontal="center"/>
    </xf>
    <xf numFmtId="164" fontId="0" fillId="7" borderId="1" xfId="0" applyNumberFormat="1" applyFill="1" applyBorder="1"/>
    <xf numFmtId="165" fontId="0" fillId="7" borderId="1" xfId="0" applyNumberFormat="1" applyFill="1" applyBorder="1"/>
  </cellXfs>
  <cellStyles count="415">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xfId="82" builtinId="9" hidden="1"/>
    <cellStyle name="Followed Hyperlink" xfId="84" builtinId="9" hidden="1"/>
    <cellStyle name="Followed Hyperlink" xfId="86" builtinId="9" hidden="1"/>
    <cellStyle name="Followed Hyperlink" xfId="88" builtinId="9" hidden="1"/>
    <cellStyle name="Followed Hyperlink" xfId="90" builtinId="9" hidden="1"/>
    <cellStyle name="Followed Hyperlink" xfId="92" builtinId="9" hidden="1"/>
    <cellStyle name="Followed Hyperlink" xfId="94" builtinId="9" hidden="1"/>
    <cellStyle name="Followed Hyperlink" xfId="96" builtinId="9" hidden="1"/>
    <cellStyle name="Followed Hyperlink" xfId="98" builtinId="9" hidden="1"/>
    <cellStyle name="Followed Hyperlink" xfId="100" builtinId="9" hidden="1"/>
    <cellStyle name="Followed Hyperlink" xfId="102" builtinId="9" hidden="1"/>
    <cellStyle name="Followed Hyperlink" xfId="104" builtinId="9" hidden="1"/>
    <cellStyle name="Followed Hyperlink" xfId="106" builtinId="9" hidden="1"/>
    <cellStyle name="Followed Hyperlink" xfId="108" builtinId="9" hidden="1"/>
    <cellStyle name="Followed Hyperlink" xfId="110" builtinId="9" hidden="1"/>
    <cellStyle name="Followed Hyperlink" xfId="112" builtinId="9" hidden="1"/>
    <cellStyle name="Followed Hyperlink" xfId="114" builtinId="9" hidden="1"/>
    <cellStyle name="Followed Hyperlink" xfId="116" builtinId="9" hidden="1"/>
    <cellStyle name="Followed Hyperlink" xfId="118" builtinId="9" hidden="1"/>
    <cellStyle name="Followed Hyperlink" xfId="120" builtinId="9" hidden="1"/>
    <cellStyle name="Followed Hyperlink" xfId="122" builtinId="9" hidden="1"/>
    <cellStyle name="Followed Hyperlink" xfId="124" builtinId="9" hidden="1"/>
    <cellStyle name="Followed Hyperlink" xfId="126" builtinId="9" hidden="1"/>
    <cellStyle name="Followed Hyperlink" xfId="128" builtinId="9" hidden="1"/>
    <cellStyle name="Followed Hyperlink" xfId="130" builtinId="9" hidden="1"/>
    <cellStyle name="Followed Hyperlink" xfId="132" builtinId="9" hidden="1"/>
    <cellStyle name="Followed Hyperlink" xfId="134" builtinId="9" hidden="1"/>
    <cellStyle name="Followed Hyperlink" xfId="136" builtinId="9" hidden="1"/>
    <cellStyle name="Followed Hyperlink" xfId="138" builtinId="9" hidden="1"/>
    <cellStyle name="Followed Hyperlink" xfId="140" builtinId="9" hidden="1"/>
    <cellStyle name="Followed Hyperlink" xfId="142" builtinId="9" hidden="1"/>
    <cellStyle name="Followed Hyperlink" xfId="144" builtinId="9" hidden="1"/>
    <cellStyle name="Followed Hyperlink" xfId="146" builtinId="9" hidden="1"/>
    <cellStyle name="Followed Hyperlink" xfId="148" builtinId="9" hidden="1"/>
    <cellStyle name="Followed Hyperlink" xfId="150" builtinId="9" hidden="1"/>
    <cellStyle name="Followed Hyperlink" xfId="152" builtinId="9" hidden="1"/>
    <cellStyle name="Followed Hyperlink" xfId="154" builtinId="9" hidden="1"/>
    <cellStyle name="Followed Hyperlink" xfId="156" builtinId="9" hidden="1"/>
    <cellStyle name="Followed Hyperlink" xfId="158" builtinId="9" hidden="1"/>
    <cellStyle name="Followed Hyperlink" xfId="160" builtinId="9" hidden="1"/>
    <cellStyle name="Followed Hyperlink" xfId="162" builtinId="9" hidden="1"/>
    <cellStyle name="Followed Hyperlink" xfId="164" builtinId="9" hidden="1"/>
    <cellStyle name="Followed Hyperlink" xfId="166" builtinId="9" hidden="1"/>
    <cellStyle name="Followed Hyperlink" xfId="168" builtinId="9" hidden="1"/>
    <cellStyle name="Followed Hyperlink" xfId="170" builtinId="9" hidden="1"/>
    <cellStyle name="Followed Hyperlink" xfId="172" builtinId="9" hidden="1"/>
    <cellStyle name="Followed Hyperlink" xfId="174" builtinId="9" hidden="1"/>
    <cellStyle name="Followed Hyperlink" xfId="176" builtinId="9" hidden="1"/>
    <cellStyle name="Followed Hyperlink" xfId="178" builtinId="9" hidden="1"/>
    <cellStyle name="Followed Hyperlink" xfId="180" builtinId="9" hidden="1"/>
    <cellStyle name="Followed Hyperlink" xfId="182" builtinId="9" hidden="1"/>
    <cellStyle name="Followed Hyperlink" xfId="184" builtinId="9" hidden="1"/>
    <cellStyle name="Followed Hyperlink" xfId="186" builtinId="9" hidden="1"/>
    <cellStyle name="Followed Hyperlink" xfId="188" builtinId="9" hidden="1"/>
    <cellStyle name="Followed Hyperlink" xfId="190" builtinId="9" hidden="1"/>
    <cellStyle name="Followed Hyperlink" xfId="192" builtinId="9" hidden="1"/>
    <cellStyle name="Followed Hyperlink" xfId="194" builtinId="9" hidden="1"/>
    <cellStyle name="Followed Hyperlink" xfId="196" builtinId="9" hidden="1"/>
    <cellStyle name="Followed Hyperlink" xfId="198" builtinId="9" hidden="1"/>
    <cellStyle name="Followed Hyperlink" xfId="200" builtinId="9" hidden="1"/>
    <cellStyle name="Followed Hyperlink" xfId="202" builtinId="9" hidden="1"/>
    <cellStyle name="Followed Hyperlink" xfId="204" builtinId="9" hidden="1"/>
    <cellStyle name="Followed Hyperlink" xfId="206" builtinId="9" hidden="1"/>
    <cellStyle name="Followed Hyperlink" xfId="208" builtinId="9" hidden="1"/>
    <cellStyle name="Followed Hyperlink" xfId="210" builtinId="9" hidden="1"/>
    <cellStyle name="Followed Hyperlink" xfId="212" builtinId="9" hidden="1"/>
    <cellStyle name="Followed Hyperlink" xfId="214" builtinId="9" hidden="1"/>
    <cellStyle name="Followed Hyperlink" xfId="216" builtinId="9" hidden="1"/>
    <cellStyle name="Followed Hyperlink" xfId="218" builtinId="9" hidden="1"/>
    <cellStyle name="Followed Hyperlink" xfId="220" builtinId="9" hidden="1"/>
    <cellStyle name="Followed Hyperlink" xfId="222" builtinId="9" hidden="1"/>
    <cellStyle name="Followed Hyperlink" xfId="224" builtinId="9" hidden="1"/>
    <cellStyle name="Followed Hyperlink" xfId="226" builtinId="9" hidden="1"/>
    <cellStyle name="Followed Hyperlink" xfId="228" builtinId="9" hidden="1"/>
    <cellStyle name="Followed Hyperlink" xfId="230" builtinId="9" hidden="1"/>
    <cellStyle name="Followed Hyperlink" xfId="232" builtinId="9" hidden="1"/>
    <cellStyle name="Followed Hyperlink" xfId="234" builtinId="9" hidden="1"/>
    <cellStyle name="Followed Hyperlink" xfId="236" builtinId="9" hidden="1"/>
    <cellStyle name="Followed Hyperlink" xfId="238" builtinId="9" hidden="1"/>
    <cellStyle name="Followed Hyperlink" xfId="240" builtinId="9" hidden="1"/>
    <cellStyle name="Followed Hyperlink" xfId="242" builtinId="9" hidden="1"/>
    <cellStyle name="Followed Hyperlink" xfId="244" builtinId="9" hidden="1"/>
    <cellStyle name="Followed Hyperlink" xfId="246" builtinId="9" hidden="1"/>
    <cellStyle name="Followed Hyperlink" xfId="248" builtinId="9" hidden="1"/>
    <cellStyle name="Followed Hyperlink" xfId="250" builtinId="9" hidden="1"/>
    <cellStyle name="Followed Hyperlink" xfId="252" builtinId="9" hidden="1"/>
    <cellStyle name="Followed Hyperlink" xfId="254" builtinId="9" hidden="1"/>
    <cellStyle name="Followed Hyperlink" xfId="256" builtinId="9" hidden="1"/>
    <cellStyle name="Followed Hyperlink" xfId="258" builtinId="9" hidden="1"/>
    <cellStyle name="Followed Hyperlink" xfId="260" builtinId="9" hidden="1"/>
    <cellStyle name="Followed Hyperlink" xfId="262" builtinId="9" hidden="1"/>
    <cellStyle name="Followed Hyperlink" xfId="264" builtinId="9" hidden="1"/>
    <cellStyle name="Followed Hyperlink" xfId="266" builtinId="9" hidden="1"/>
    <cellStyle name="Followed Hyperlink" xfId="268" builtinId="9" hidden="1"/>
    <cellStyle name="Followed Hyperlink" xfId="270" builtinId="9" hidden="1"/>
    <cellStyle name="Followed Hyperlink" xfId="272" builtinId="9" hidden="1"/>
    <cellStyle name="Followed Hyperlink" xfId="274" builtinId="9" hidden="1"/>
    <cellStyle name="Followed Hyperlink" xfId="276" builtinId="9" hidden="1"/>
    <cellStyle name="Followed Hyperlink" xfId="278" builtinId="9" hidden="1"/>
    <cellStyle name="Followed Hyperlink" xfId="280" builtinId="9" hidden="1"/>
    <cellStyle name="Followed Hyperlink" xfId="282" builtinId="9" hidden="1"/>
    <cellStyle name="Followed Hyperlink" xfId="284" builtinId="9" hidden="1"/>
    <cellStyle name="Followed Hyperlink" xfId="286" builtinId="9" hidden="1"/>
    <cellStyle name="Followed Hyperlink" xfId="288" builtinId="9" hidden="1"/>
    <cellStyle name="Followed Hyperlink" xfId="290" builtinId="9" hidden="1"/>
    <cellStyle name="Followed Hyperlink" xfId="292" builtinId="9" hidden="1"/>
    <cellStyle name="Followed Hyperlink" xfId="294" builtinId="9" hidden="1"/>
    <cellStyle name="Followed Hyperlink" xfId="296" builtinId="9" hidden="1"/>
    <cellStyle name="Followed Hyperlink" xfId="298" builtinId="9" hidden="1"/>
    <cellStyle name="Followed Hyperlink" xfId="300" builtinId="9" hidden="1"/>
    <cellStyle name="Followed Hyperlink" xfId="302" builtinId="9" hidden="1"/>
    <cellStyle name="Followed Hyperlink" xfId="304" builtinId="9" hidden="1"/>
    <cellStyle name="Followed Hyperlink" xfId="306" builtinId="9" hidden="1"/>
    <cellStyle name="Followed Hyperlink" xfId="308" builtinId="9" hidden="1"/>
    <cellStyle name="Followed Hyperlink" xfId="310" builtinId="9" hidden="1"/>
    <cellStyle name="Followed Hyperlink" xfId="312" builtinId="9" hidden="1"/>
    <cellStyle name="Followed Hyperlink" xfId="314" builtinId="9" hidden="1"/>
    <cellStyle name="Followed Hyperlink" xfId="316" builtinId="9" hidden="1"/>
    <cellStyle name="Followed Hyperlink" xfId="318" builtinId="9" hidden="1"/>
    <cellStyle name="Followed Hyperlink" xfId="320" builtinId="9" hidden="1"/>
    <cellStyle name="Followed Hyperlink" xfId="322" builtinId="9" hidden="1"/>
    <cellStyle name="Followed Hyperlink" xfId="324" builtinId="9" hidden="1"/>
    <cellStyle name="Followed Hyperlink" xfId="326" builtinId="9" hidden="1"/>
    <cellStyle name="Followed Hyperlink" xfId="328" builtinId="9" hidden="1"/>
    <cellStyle name="Followed Hyperlink" xfId="330" builtinId="9" hidden="1"/>
    <cellStyle name="Followed Hyperlink" xfId="332" builtinId="9" hidden="1"/>
    <cellStyle name="Followed Hyperlink" xfId="334" builtinId="9" hidden="1"/>
    <cellStyle name="Followed Hyperlink" xfId="336" builtinId="9" hidden="1"/>
    <cellStyle name="Followed Hyperlink" xfId="338" builtinId="9" hidden="1"/>
    <cellStyle name="Followed Hyperlink" xfId="340" builtinId="9" hidden="1"/>
    <cellStyle name="Followed Hyperlink" xfId="342" builtinId="9" hidden="1"/>
    <cellStyle name="Followed Hyperlink" xfId="344" builtinId="9" hidden="1"/>
    <cellStyle name="Followed Hyperlink" xfId="346" builtinId="9" hidden="1"/>
    <cellStyle name="Followed Hyperlink" xfId="348" builtinId="9" hidden="1"/>
    <cellStyle name="Followed Hyperlink" xfId="350" builtinId="9" hidden="1"/>
    <cellStyle name="Followed Hyperlink" xfId="352" builtinId="9" hidden="1"/>
    <cellStyle name="Followed Hyperlink" xfId="354" builtinId="9" hidden="1"/>
    <cellStyle name="Followed Hyperlink" xfId="356" builtinId="9" hidden="1"/>
    <cellStyle name="Followed Hyperlink" xfId="358" builtinId="9" hidden="1"/>
    <cellStyle name="Followed Hyperlink" xfId="360" builtinId="9" hidden="1"/>
    <cellStyle name="Followed Hyperlink" xfId="362" builtinId="9" hidden="1"/>
    <cellStyle name="Followed Hyperlink" xfId="364" builtinId="9" hidden="1"/>
    <cellStyle name="Followed Hyperlink" xfId="366" builtinId="9" hidden="1"/>
    <cellStyle name="Followed Hyperlink" xfId="368" builtinId="9" hidden="1"/>
    <cellStyle name="Followed Hyperlink" xfId="370" builtinId="9" hidden="1"/>
    <cellStyle name="Followed Hyperlink" xfId="372" builtinId="9" hidden="1"/>
    <cellStyle name="Followed Hyperlink" xfId="374" builtinId="9" hidden="1"/>
    <cellStyle name="Followed Hyperlink" xfId="376" builtinId="9" hidden="1"/>
    <cellStyle name="Followed Hyperlink" xfId="378" builtinId="9" hidden="1"/>
    <cellStyle name="Followed Hyperlink" xfId="380" builtinId="9" hidden="1"/>
    <cellStyle name="Followed Hyperlink" xfId="382" builtinId="9" hidden="1"/>
    <cellStyle name="Followed Hyperlink" xfId="384" builtinId="9" hidden="1"/>
    <cellStyle name="Followed Hyperlink" xfId="386" builtinId="9" hidden="1"/>
    <cellStyle name="Followed Hyperlink" xfId="388" builtinId="9" hidden="1"/>
    <cellStyle name="Followed Hyperlink" xfId="390" builtinId="9" hidden="1"/>
    <cellStyle name="Followed Hyperlink" xfId="392" builtinId="9" hidden="1"/>
    <cellStyle name="Followed Hyperlink" xfId="394" builtinId="9" hidden="1"/>
    <cellStyle name="Followed Hyperlink" xfId="396" builtinId="9" hidden="1"/>
    <cellStyle name="Followed Hyperlink" xfId="398" builtinId="9" hidden="1"/>
    <cellStyle name="Followed Hyperlink" xfId="400" builtinId="9" hidden="1"/>
    <cellStyle name="Followed Hyperlink" xfId="402" builtinId="9" hidden="1"/>
    <cellStyle name="Followed Hyperlink" xfId="404" builtinId="9" hidden="1"/>
    <cellStyle name="Followed Hyperlink" xfId="406" builtinId="9" hidden="1"/>
    <cellStyle name="Followed Hyperlink" xfId="408" builtinId="9" hidden="1"/>
    <cellStyle name="Followed Hyperlink" xfId="410" builtinId="9" hidden="1"/>
    <cellStyle name="Followed Hyperlink" xfId="412" builtinId="9" hidden="1"/>
    <cellStyle name="Followed Hyperlink" xfId="414"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Hyperlink" xfId="85" builtinId="8" hidden="1"/>
    <cellStyle name="Hyperlink" xfId="87" builtinId="8" hidden="1"/>
    <cellStyle name="Hyperlink" xfId="89" builtinId="8" hidden="1"/>
    <cellStyle name="Hyperlink" xfId="91" builtinId="8" hidden="1"/>
    <cellStyle name="Hyperlink" xfId="93" builtinId="8" hidden="1"/>
    <cellStyle name="Hyperlink" xfId="95" builtinId="8" hidden="1"/>
    <cellStyle name="Hyperlink" xfId="97" builtinId="8" hidden="1"/>
    <cellStyle name="Hyperlink" xfId="99" builtinId="8" hidden="1"/>
    <cellStyle name="Hyperlink" xfId="101" builtinId="8" hidden="1"/>
    <cellStyle name="Hyperlink" xfId="103" builtinId="8" hidden="1"/>
    <cellStyle name="Hyperlink" xfId="105" builtinId="8" hidden="1"/>
    <cellStyle name="Hyperlink" xfId="107" builtinId="8" hidden="1"/>
    <cellStyle name="Hyperlink" xfId="109" builtinId="8" hidden="1"/>
    <cellStyle name="Hyperlink" xfId="111" builtinId="8" hidden="1"/>
    <cellStyle name="Hyperlink" xfId="113" builtinId="8" hidden="1"/>
    <cellStyle name="Hyperlink" xfId="115" builtinId="8" hidden="1"/>
    <cellStyle name="Hyperlink" xfId="117" builtinId="8" hidden="1"/>
    <cellStyle name="Hyperlink" xfId="119" builtinId="8" hidden="1"/>
    <cellStyle name="Hyperlink" xfId="121" builtinId="8" hidden="1"/>
    <cellStyle name="Hyperlink" xfId="123" builtinId="8" hidden="1"/>
    <cellStyle name="Hyperlink" xfId="125" builtinId="8" hidden="1"/>
    <cellStyle name="Hyperlink" xfId="127" builtinId="8" hidden="1"/>
    <cellStyle name="Hyperlink" xfId="129" builtinId="8" hidden="1"/>
    <cellStyle name="Hyperlink" xfId="131" builtinId="8" hidden="1"/>
    <cellStyle name="Hyperlink" xfId="133" builtinId="8" hidden="1"/>
    <cellStyle name="Hyperlink" xfId="135" builtinId="8" hidden="1"/>
    <cellStyle name="Hyperlink" xfId="137" builtinId="8" hidden="1"/>
    <cellStyle name="Hyperlink" xfId="139" builtinId="8" hidden="1"/>
    <cellStyle name="Hyperlink" xfId="141" builtinId="8" hidden="1"/>
    <cellStyle name="Hyperlink" xfId="143" builtinId="8" hidden="1"/>
    <cellStyle name="Hyperlink" xfId="145" builtinId="8" hidden="1"/>
    <cellStyle name="Hyperlink" xfId="147" builtinId="8" hidden="1"/>
    <cellStyle name="Hyperlink" xfId="149" builtinId="8" hidden="1"/>
    <cellStyle name="Hyperlink" xfId="151" builtinId="8" hidden="1"/>
    <cellStyle name="Hyperlink" xfId="153" builtinId="8" hidden="1"/>
    <cellStyle name="Hyperlink" xfId="155" builtinId="8" hidden="1"/>
    <cellStyle name="Hyperlink" xfId="157" builtinId="8" hidden="1"/>
    <cellStyle name="Hyperlink" xfId="159" builtinId="8" hidden="1"/>
    <cellStyle name="Hyperlink" xfId="161" builtinId="8" hidden="1"/>
    <cellStyle name="Hyperlink" xfId="163" builtinId="8" hidden="1"/>
    <cellStyle name="Hyperlink" xfId="165" builtinId="8" hidden="1"/>
    <cellStyle name="Hyperlink" xfId="167" builtinId="8" hidden="1"/>
    <cellStyle name="Hyperlink" xfId="169" builtinId="8" hidden="1"/>
    <cellStyle name="Hyperlink" xfId="171" builtinId="8" hidden="1"/>
    <cellStyle name="Hyperlink" xfId="173" builtinId="8" hidden="1"/>
    <cellStyle name="Hyperlink" xfId="175" builtinId="8" hidden="1"/>
    <cellStyle name="Hyperlink" xfId="177" builtinId="8" hidden="1"/>
    <cellStyle name="Hyperlink" xfId="179" builtinId="8" hidden="1"/>
    <cellStyle name="Hyperlink" xfId="181" builtinId="8" hidden="1"/>
    <cellStyle name="Hyperlink" xfId="183" builtinId="8" hidden="1"/>
    <cellStyle name="Hyperlink" xfId="185" builtinId="8" hidden="1"/>
    <cellStyle name="Hyperlink" xfId="187" builtinId="8" hidden="1"/>
    <cellStyle name="Hyperlink" xfId="189" builtinId="8" hidden="1"/>
    <cellStyle name="Hyperlink" xfId="191" builtinId="8" hidden="1"/>
    <cellStyle name="Hyperlink" xfId="193" builtinId="8" hidden="1"/>
    <cellStyle name="Hyperlink" xfId="195" builtinId="8" hidden="1"/>
    <cellStyle name="Hyperlink" xfId="197" builtinId="8" hidden="1"/>
    <cellStyle name="Hyperlink" xfId="199" builtinId="8" hidden="1"/>
    <cellStyle name="Hyperlink" xfId="201" builtinId="8" hidden="1"/>
    <cellStyle name="Hyperlink" xfId="203" builtinId="8" hidden="1"/>
    <cellStyle name="Hyperlink" xfId="205" builtinId="8" hidden="1"/>
    <cellStyle name="Hyperlink" xfId="207" builtinId="8" hidden="1"/>
    <cellStyle name="Hyperlink" xfId="209" builtinId="8" hidden="1"/>
    <cellStyle name="Hyperlink" xfId="211" builtinId="8" hidden="1"/>
    <cellStyle name="Hyperlink" xfId="213" builtinId="8" hidden="1"/>
    <cellStyle name="Hyperlink" xfId="215" builtinId="8" hidden="1"/>
    <cellStyle name="Hyperlink" xfId="217" builtinId="8" hidden="1"/>
    <cellStyle name="Hyperlink" xfId="219" builtinId="8" hidden="1"/>
    <cellStyle name="Hyperlink" xfId="221" builtinId="8" hidden="1"/>
    <cellStyle name="Hyperlink" xfId="223" builtinId="8" hidden="1"/>
    <cellStyle name="Hyperlink" xfId="225" builtinId="8" hidden="1"/>
    <cellStyle name="Hyperlink" xfId="227" builtinId="8" hidden="1"/>
    <cellStyle name="Hyperlink" xfId="229" builtinId="8" hidden="1"/>
    <cellStyle name="Hyperlink" xfId="231" builtinId="8" hidden="1"/>
    <cellStyle name="Hyperlink" xfId="233" builtinId="8" hidden="1"/>
    <cellStyle name="Hyperlink" xfId="235" builtinId="8" hidden="1"/>
    <cellStyle name="Hyperlink" xfId="237" builtinId="8" hidden="1"/>
    <cellStyle name="Hyperlink" xfId="239" builtinId="8" hidden="1"/>
    <cellStyle name="Hyperlink" xfId="241" builtinId="8" hidden="1"/>
    <cellStyle name="Hyperlink" xfId="243" builtinId="8" hidden="1"/>
    <cellStyle name="Hyperlink" xfId="245" builtinId="8" hidden="1"/>
    <cellStyle name="Hyperlink" xfId="247" builtinId="8" hidden="1"/>
    <cellStyle name="Hyperlink" xfId="249" builtinId="8" hidden="1"/>
    <cellStyle name="Hyperlink" xfId="251" builtinId="8" hidden="1"/>
    <cellStyle name="Hyperlink" xfId="253" builtinId="8" hidden="1"/>
    <cellStyle name="Hyperlink" xfId="255" builtinId="8" hidden="1"/>
    <cellStyle name="Hyperlink" xfId="257" builtinId="8" hidden="1"/>
    <cellStyle name="Hyperlink" xfId="259" builtinId="8" hidden="1"/>
    <cellStyle name="Hyperlink" xfId="261" builtinId="8" hidden="1"/>
    <cellStyle name="Hyperlink" xfId="263" builtinId="8" hidden="1"/>
    <cellStyle name="Hyperlink" xfId="265" builtinId="8" hidden="1"/>
    <cellStyle name="Hyperlink" xfId="267" builtinId="8" hidden="1"/>
    <cellStyle name="Hyperlink" xfId="269" builtinId="8" hidden="1"/>
    <cellStyle name="Hyperlink" xfId="271" builtinId="8" hidden="1"/>
    <cellStyle name="Hyperlink" xfId="273" builtinId="8" hidden="1"/>
    <cellStyle name="Hyperlink" xfId="275" builtinId="8" hidden="1"/>
    <cellStyle name="Hyperlink" xfId="277" builtinId="8" hidden="1"/>
    <cellStyle name="Hyperlink" xfId="279" builtinId="8" hidden="1"/>
    <cellStyle name="Hyperlink" xfId="281" builtinId="8" hidden="1"/>
    <cellStyle name="Hyperlink" xfId="283" builtinId="8" hidden="1"/>
    <cellStyle name="Hyperlink" xfId="285" builtinId="8" hidden="1"/>
    <cellStyle name="Hyperlink" xfId="287" builtinId="8" hidden="1"/>
    <cellStyle name="Hyperlink" xfId="289" builtinId="8" hidden="1"/>
    <cellStyle name="Hyperlink" xfId="291" builtinId="8" hidden="1"/>
    <cellStyle name="Hyperlink" xfId="293" builtinId="8" hidden="1"/>
    <cellStyle name="Hyperlink" xfId="295" builtinId="8" hidden="1"/>
    <cellStyle name="Hyperlink" xfId="297" builtinId="8" hidden="1"/>
    <cellStyle name="Hyperlink" xfId="299" builtinId="8" hidden="1"/>
    <cellStyle name="Hyperlink" xfId="301" builtinId="8" hidden="1"/>
    <cellStyle name="Hyperlink" xfId="303" builtinId="8" hidden="1"/>
    <cellStyle name="Hyperlink" xfId="305" builtinId="8" hidden="1"/>
    <cellStyle name="Hyperlink" xfId="307" builtinId="8" hidden="1"/>
    <cellStyle name="Hyperlink" xfId="309" builtinId="8" hidden="1"/>
    <cellStyle name="Hyperlink" xfId="311" builtinId="8" hidden="1"/>
    <cellStyle name="Hyperlink" xfId="313" builtinId="8" hidden="1"/>
    <cellStyle name="Hyperlink" xfId="315" builtinId="8" hidden="1"/>
    <cellStyle name="Hyperlink" xfId="317" builtinId="8" hidden="1"/>
    <cellStyle name="Hyperlink" xfId="319" builtinId="8" hidden="1"/>
    <cellStyle name="Hyperlink" xfId="321" builtinId="8" hidden="1"/>
    <cellStyle name="Hyperlink" xfId="323" builtinId="8" hidden="1"/>
    <cellStyle name="Hyperlink" xfId="325" builtinId="8" hidden="1"/>
    <cellStyle name="Hyperlink" xfId="327" builtinId="8" hidden="1"/>
    <cellStyle name="Hyperlink" xfId="329" builtinId="8" hidden="1"/>
    <cellStyle name="Hyperlink" xfId="331" builtinId="8" hidden="1"/>
    <cellStyle name="Hyperlink" xfId="333" builtinId="8" hidden="1"/>
    <cellStyle name="Hyperlink" xfId="335" builtinId="8" hidden="1"/>
    <cellStyle name="Hyperlink" xfId="337" builtinId="8" hidden="1"/>
    <cellStyle name="Hyperlink" xfId="339" builtinId="8" hidden="1"/>
    <cellStyle name="Hyperlink" xfId="341" builtinId="8" hidden="1"/>
    <cellStyle name="Hyperlink" xfId="343" builtinId="8" hidden="1"/>
    <cellStyle name="Hyperlink" xfId="345" builtinId="8" hidden="1"/>
    <cellStyle name="Hyperlink" xfId="347" builtinId="8" hidden="1"/>
    <cellStyle name="Hyperlink" xfId="349" builtinId="8" hidden="1"/>
    <cellStyle name="Hyperlink" xfId="351" builtinId="8" hidden="1"/>
    <cellStyle name="Hyperlink" xfId="353" builtinId="8" hidden="1"/>
    <cellStyle name="Hyperlink" xfId="355" builtinId="8" hidden="1"/>
    <cellStyle name="Hyperlink" xfId="357" builtinId="8" hidden="1"/>
    <cellStyle name="Hyperlink" xfId="359" builtinId="8" hidden="1"/>
    <cellStyle name="Hyperlink" xfId="361" builtinId="8" hidden="1"/>
    <cellStyle name="Hyperlink" xfId="363" builtinId="8" hidden="1"/>
    <cellStyle name="Hyperlink" xfId="365" builtinId="8" hidden="1"/>
    <cellStyle name="Hyperlink" xfId="367" builtinId="8" hidden="1"/>
    <cellStyle name="Hyperlink" xfId="369" builtinId="8" hidden="1"/>
    <cellStyle name="Hyperlink" xfId="371" builtinId="8" hidden="1"/>
    <cellStyle name="Hyperlink" xfId="373" builtinId="8" hidden="1"/>
    <cellStyle name="Hyperlink" xfId="375" builtinId="8" hidden="1"/>
    <cellStyle name="Hyperlink" xfId="377" builtinId="8" hidden="1"/>
    <cellStyle name="Hyperlink" xfId="379" builtinId="8" hidden="1"/>
    <cellStyle name="Hyperlink" xfId="381" builtinId="8" hidden="1"/>
    <cellStyle name="Hyperlink" xfId="383" builtinId="8" hidden="1"/>
    <cellStyle name="Hyperlink" xfId="385" builtinId="8" hidden="1"/>
    <cellStyle name="Hyperlink" xfId="387" builtinId="8" hidden="1"/>
    <cellStyle name="Hyperlink" xfId="389" builtinId="8" hidden="1"/>
    <cellStyle name="Hyperlink" xfId="391" builtinId="8" hidden="1"/>
    <cellStyle name="Hyperlink" xfId="393" builtinId="8" hidden="1"/>
    <cellStyle name="Hyperlink" xfId="395" builtinId="8" hidden="1"/>
    <cellStyle name="Hyperlink" xfId="397" builtinId="8" hidden="1"/>
    <cellStyle name="Hyperlink" xfId="399" builtinId="8" hidden="1"/>
    <cellStyle name="Hyperlink" xfId="401" builtinId="8" hidden="1"/>
    <cellStyle name="Hyperlink" xfId="403" builtinId="8" hidden="1"/>
    <cellStyle name="Hyperlink" xfId="405" builtinId="8" hidden="1"/>
    <cellStyle name="Hyperlink" xfId="407" builtinId="8" hidden="1"/>
    <cellStyle name="Hyperlink" xfId="409" builtinId="8" hidden="1"/>
    <cellStyle name="Hyperlink" xfId="411" builtinId="8" hidden="1"/>
    <cellStyle name="Hyperlink" xfId="413" builtinId="8" hidden="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K28"/>
  <sheetViews>
    <sheetView view="pageBreakPreview" zoomScale="150" zoomScaleNormal="100" zoomScaleSheetLayoutView="150" workbookViewId="0">
      <selection sqref="A1:A1048576"/>
    </sheetView>
  </sheetViews>
  <sheetFormatPr baseColWidth="10" defaultRowHeight="16" x14ac:dyDescent="0.2"/>
  <cols>
    <col min="1" max="1" width="4.83203125" bestFit="1" customWidth="1"/>
    <col min="3" max="3" width="12.6640625" bestFit="1" customWidth="1"/>
    <col min="5" max="5" width="12.6640625" bestFit="1" customWidth="1"/>
    <col min="7" max="7" width="12.6640625" bestFit="1" customWidth="1"/>
    <col min="9" max="9" width="12.6640625" bestFit="1" customWidth="1"/>
    <col min="11" max="11" width="12.6640625" bestFit="1" customWidth="1"/>
  </cols>
  <sheetData>
    <row r="1" spans="1:11" x14ac:dyDescent="0.2">
      <c r="A1" s="1" t="s">
        <v>7</v>
      </c>
      <c r="B1" s="2"/>
      <c r="C1" s="2"/>
      <c r="D1" s="2"/>
      <c r="E1" s="2"/>
      <c r="F1" s="2"/>
      <c r="G1" s="2"/>
      <c r="H1" s="2"/>
      <c r="I1" s="2"/>
      <c r="J1" s="2"/>
      <c r="K1" s="2"/>
    </row>
    <row r="2" spans="1:11" x14ac:dyDescent="0.2">
      <c r="A2" s="1" t="s">
        <v>8</v>
      </c>
      <c r="B2" s="2"/>
      <c r="C2" s="2"/>
      <c r="D2" s="2"/>
      <c r="E2" s="2"/>
      <c r="F2" s="2"/>
      <c r="G2" s="2"/>
      <c r="H2" s="2"/>
      <c r="I2" s="2"/>
      <c r="J2" s="2"/>
      <c r="K2" s="2"/>
    </row>
    <row r="3" spans="1:11" x14ac:dyDescent="0.2">
      <c r="A3" s="1" t="s">
        <v>20</v>
      </c>
      <c r="B3" s="2"/>
      <c r="C3" s="2"/>
      <c r="D3" s="2"/>
      <c r="E3" s="2"/>
      <c r="F3" s="2"/>
      <c r="G3" s="2"/>
      <c r="H3" s="2"/>
      <c r="I3" s="2"/>
      <c r="J3" s="2"/>
      <c r="K3" s="2"/>
    </row>
    <row r="5" spans="1:11" x14ac:dyDescent="0.2">
      <c r="A5" s="5" t="s">
        <v>0</v>
      </c>
      <c r="B5" s="17" t="s">
        <v>1</v>
      </c>
      <c r="C5" s="18"/>
      <c r="D5" s="20" t="s">
        <v>3</v>
      </c>
      <c r="E5" s="21"/>
      <c r="F5" s="32" t="s">
        <v>4</v>
      </c>
      <c r="G5" s="33"/>
      <c r="H5" s="36" t="s">
        <v>5</v>
      </c>
      <c r="I5" s="37"/>
      <c r="J5" s="48" t="s">
        <v>6</v>
      </c>
      <c r="K5" s="49"/>
    </row>
    <row r="6" spans="1:11" ht="19" customHeight="1" x14ac:dyDescent="0.2">
      <c r="A6" s="6"/>
      <c r="B6" s="14" t="s">
        <v>2</v>
      </c>
      <c r="C6" s="14" t="s">
        <v>9</v>
      </c>
      <c r="D6" s="22" t="s">
        <v>2</v>
      </c>
      <c r="E6" s="22" t="s">
        <v>9</v>
      </c>
      <c r="F6" s="29" t="s">
        <v>2</v>
      </c>
      <c r="G6" s="29" t="s">
        <v>9</v>
      </c>
      <c r="H6" s="38" t="s">
        <v>2</v>
      </c>
      <c r="I6" s="38" t="s">
        <v>9</v>
      </c>
      <c r="J6" s="45" t="s">
        <v>2</v>
      </c>
      <c r="K6" s="45" t="s">
        <v>9</v>
      </c>
    </row>
    <row r="7" spans="1:11" x14ac:dyDescent="0.2">
      <c r="A7" s="7">
        <v>0</v>
      </c>
      <c r="B7" s="15">
        <v>44934.730344000003</v>
      </c>
      <c r="C7" s="19">
        <f>B7/24</f>
        <v>1872.2804310000001</v>
      </c>
      <c r="D7" s="23">
        <v>48579.979824000002</v>
      </c>
      <c r="E7" s="24">
        <f>D7/24</f>
        <v>2024.1658260000002</v>
      </c>
      <c r="F7" s="30">
        <v>52347.268223999999</v>
      </c>
      <c r="G7" s="35">
        <f>F7/24</f>
        <v>2181.136176</v>
      </c>
      <c r="H7" s="39">
        <v>53084.807783999997</v>
      </c>
      <c r="I7" s="40">
        <f>H7/24</f>
        <v>2211.8669909999999</v>
      </c>
      <c r="J7" s="46">
        <v>55036.369295999997</v>
      </c>
      <c r="K7" s="51">
        <f>J7/24</f>
        <v>2293.1820539999999</v>
      </c>
    </row>
    <row r="8" spans="1:11" x14ac:dyDescent="0.2">
      <c r="A8" s="7">
        <v>1</v>
      </c>
      <c r="B8" s="15">
        <v>45850.552847999999</v>
      </c>
      <c r="C8" s="19">
        <f t="shared" ref="C8:C25" si="0">B8/24</f>
        <v>1910.4397019999999</v>
      </c>
      <c r="D8" s="23">
        <v>49712.288760000003</v>
      </c>
      <c r="E8" s="24">
        <f t="shared" ref="E8:E25" si="1">D8/24</f>
        <v>2071.3453650000001</v>
      </c>
      <c r="F8" s="30">
        <v>53663.166144000003</v>
      </c>
      <c r="G8" s="35">
        <f>F8/24</f>
        <v>2235.965256</v>
      </c>
      <c r="H8" s="39">
        <v>54411.317783999999</v>
      </c>
      <c r="I8" s="40">
        <f t="shared" ref="I8:I25" si="2">H8/24</f>
        <v>2267.1382410000001</v>
      </c>
      <c r="J8" s="46">
        <v>56292.839568000003</v>
      </c>
      <c r="K8" s="51">
        <f t="shared" ref="K8:K25" si="3">J8/24</f>
        <v>2345.5349820000001</v>
      </c>
    </row>
    <row r="9" spans="1:11" x14ac:dyDescent="0.2">
      <c r="A9" s="7">
        <v>2</v>
      </c>
      <c r="B9" s="15">
        <v>46966.943664000006</v>
      </c>
      <c r="C9" s="19">
        <f t="shared" si="0"/>
        <v>1956.9559860000002</v>
      </c>
      <c r="D9" s="23">
        <v>50803.210584</v>
      </c>
      <c r="E9" s="24">
        <f t="shared" si="1"/>
        <v>2116.8004409999999</v>
      </c>
      <c r="F9" s="30">
        <v>54915.391584000005</v>
      </c>
      <c r="G9" s="35">
        <f t="shared" ref="G9:G25" si="4">F9/24</f>
        <v>2288.1413160000002</v>
      </c>
      <c r="H9" s="39">
        <v>55660.359600000003</v>
      </c>
      <c r="I9" s="40">
        <f t="shared" si="2"/>
        <v>2319.18165</v>
      </c>
      <c r="J9" s="46">
        <v>57542.942592000007</v>
      </c>
      <c r="K9" s="51">
        <f t="shared" si="3"/>
        <v>2397.6226080000001</v>
      </c>
    </row>
    <row r="10" spans="1:11" x14ac:dyDescent="0.2">
      <c r="A10" s="7">
        <v>3</v>
      </c>
      <c r="B10" s="15">
        <v>48010.111128000004</v>
      </c>
      <c r="C10" s="19">
        <f t="shared" si="0"/>
        <v>2000.4212970000001</v>
      </c>
      <c r="D10" s="23">
        <v>51850.622880000003</v>
      </c>
      <c r="E10" s="24">
        <f t="shared" si="1"/>
        <v>2160.4426200000003</v>
      </c>
      <c r="F10" s="30">
        <v>56141.086823999998</v>
      </c>
      <c r="G10" s="35">
        <f t="shared" si="4"/>
        <v>2339.2119509999998</v>
      </c>
      <c r="H10" s="39">
        <v>56889.238464000002</v>
      </c>
      <c r="I10" s="40">
        <f t="shared" si="2"/>
        <v>2370.3849359999999</v>
      </c>
      <c r="J10" s="46">
        <v>58766.515416000009</v>
      </c>
      <c r="K10" s="51">
        <f t="shared" si="3"/>
        <v>2448.6048090000004</v>
      </c>
    </row>
    <row r="11" spans="1:11" x14ac:dyDescent="0.2">
      <c r="A11" s="7">
        <v>4</v>
      </c>
      <c r="B11" s="15">
        <v>48985.361280000012</v>
      </c>
      <c r="C11" s="19">
        <f t="shared" si="0"/>
        <v>2041.0567200000005</v>
      </c>
      <c r="D11" s="23">
        <v>52915.014504000006</v>
      </c>
      <c r="E11" s="24">
        <f t="shared" si="1"/>
        <v>2204.7922710000003</v>
      </c>
      <c r="F11" s="30">
        <v>57483.514944000002</v>
      </c>
      <c r="G11" s="35">
        <f t="shared" si="4"/>
        <v>2395.1464559999999</v>
      </c>
      <c r="H11" s="39">
        <v>58234.850208000003</v>
      </c>
      <c r="I11" s="40">
        <f t="shared" si="2"/>
        <v>2426.452092</v>
      </c>
      <c r="J11" s="46">
        <v>60172.616016000007</v>
      </c>
      <c r="K11" s="51">
        <f t="shared" si="3"/>
        <v>2507.1923340000003</v>
      </c>
    </row>
    <row r="12" spans="1:11" x14ac:dyDescent="0.2">
      <c r="A12" s="7">
        <v>5</v>
      </c>
      <c r="B12" s="15">
        <v>49850.245800000004</v>
      </c>
      <c r="C12" s="19">
        <f t="shared" si="0"/>
        <v>2077.0935750000003</v>
      </c>
      <c r="D12" s="23">
        <v>53821.286136000002</v>
      </c>
      <c r="E12" s="24">
        <f t="shared" si="1"/>
        <v>2242.5535890000001</v>
      </c>
      <c r="F12" s="30">
        <v>58544.722944000001</v>
      </c>
      <c r="G12" s="35">
        <f t="shared" si="4"/>
        <v>2439.363456</v>
      </c>
      <c r="H12" s="39">
        <v>59261.038344000001</v>
      </c>
      <c r="I12" s="40">
        <f t="shared" si="2"/>
        <v>2469.2099309999999</v>
      </c>
      <c r="J12" s="46">
        <v>61227.456768000004</v>
      </c>
      <c r="K12" s="51">
        <f t="shared" si="3"/>
        <v>2551.1440320000002</v>
      </c>
    </row>
    <row r="13" spans="1:11" x14ac:dyDescent="0.2">
      <c r="A13" s="7">
        <v>6</v>
      </c>
      <c r="B13" s="15">
        <v>51072.757416000008</v>
      </c>
      <c r="C13" s="19">
        <f t="shared" si="0"/>
        <v>2128.0315590000005</v>
      </c>
      <c r="D13" s="23">
        <v>55119.143520000005</v>
      </c>
      <c r="E13" s="24">
        <f t="shared" si="1"/>
        <v>2296.6309800000004</v>
      </c>
      <c r="F13" s="30">
        <v>60047.393472000003</v>
      </c>
      <c r="G13" s="35">
        <f t="shared" si="4"/>
        <v>2501.9747280000001</v>
      </c>
      <c r="H13" s="39">
        <v>60772.198536000004</v>
      </c>
      <c r="I13" s="40">
        <f t="shared" si="2"/>
        <v>2532.174939</v>
      </c>
      <c r="J13" s="46">
        <v>62735.433336000002</v>
      </c>
      <c r="K13" s="51">
        <f t="shared" si="3"/>
        <v>2613.9763889999999</v>
      </c>
    </row>
    <row r="14" spans="1:11" x14ac:dyDescent="0.2">
      <c r="A14" s="7">
        <v>7</v>
      </c>
      <c r="B14" s="15">
        <v>51698.870136000005</v>
      </c>
      <c r="C14" s="19">
        <f t="shared" si="0"/>
        <v>2154.1195890000004</v>
      </c>
      <c r="D14" s="23">
        <v>55783.459728000002</v>
      </c>
      <c r="E14" s="24">
        <f t="shared" si="1"/>
        <v>2324.3108219999999</v>
      </c>
      <c r="F14" s="30">
        <v>61053.418656000002</v>
      </c>
      <c r="G14" s="35">
        <f t="shared" si="4"/>
        <v>2543.8924440000001</v>
      </c>
      <c r="H14" s="39">
        <v>61812.182376000004</v>
      </c>
      <c r="I14" s="40">
        <f t="shared" si="2"/>
        <v>2575.507599</v>
      </c>
      <c r="J14" s="46">
        <v>63696.887783999999</v>
      </c>
      <c r="K14" s="51">
        <f t="shared" si="3"/>
        <v>2654.0369909999999</v>
      </c>
    </row>
    <row r="15" spans="1:11" x14ac:dyDescent="0.2">
      <c r="A15" s="7">
        <v>8</v>
      </c>
      <c r="B15" s="15">
        <v>52717.629816000001</v>
      </c>
      <c r="C15" s="19">
        <f t="shared" si="0"/>
        <v>2196.5679089999999</v>
      </c>
      <c r="D15" s="23">
        <v>56894.544504000005</v>
      </c>
      <c r="E15" s="24">
        <f t="shared" si="1"/>
        <v>2370.6060210000001</v>
      </c>
      <c r="F15" s="30">
        <v>62255.767320000006</v>
      </c>
      <c r="G15" s="35">
        <f t="shared" si="4"/>
        <v>2593.9903050000003</v>
      </c>
      <c r="H15" s="39">
        <v>63035.7552</v>
      </c>
      <c r="I15" s="40">
        <f t="shared" si="2"/>
        <v>2626.4897999999998</v>
      </c>
      <c r="J15" s="46">
        <v>64896.052823999999</v>
      </c>
      <c r="K15" s="51">
        <f t="shared" si="3"/>
        <v>2704.0022009999998</v>
      </c>
    </row>
    <row r="16" spans="1:11" x14ac:dyDescent="0.2">
      <c r="A16" s="7">
        <v>9</v>
      </c>
      <c r="B16" s="15">
        <v>53201.540664</v>
      </c>
      <c r="C16" s="19">
        <f t="shared" si="0"/>
        <v>2216.730861</v>
      </c>
      <c r="D16" s="23">
        <v>57423.026087999999</v>
      </c>
      <c r="E16" s="24">
        <f t="shared" si="1"/>
        <v>2392.6260870000001</v>
      </c>
      <c r="F16" s="30">
        <v>63011.347416000004</v>
      </c>
      <c r="G16" s="35">
        <f t="shared" si="4"/>
        <v>2625.4728090000003</v>
      </c>
      <c r="H16" s="39">
        <v>63778.6008</v>
      </c>
      <c r="I16" s="40">
        <f t="shared" si="2"/>
        <v>2657.4416999999999</v>
      </c>
      <c r="J16" s="46">
        <v>66105.829944000012</v>
      </c>
      <c r="K16" s="51">
        <f t="shared" si="3"/>
        <v>2754.4095810000003</v>
      </c>
    </row>
    <row r="17" spans="1:11" x14ac:dyDescent="0.2">
      <c r="A17" s="7">
        <v>10</v>
      </c>
      <c r="B17" s="15">
        <v>54266.993495999996</v>
      </c>
      <c r="C17" s="19">
        <f t="shared" si="0"/>
        <v>2261.1247289999997</v>
      </c>
      <c r="D17" s="23">
        <v>58581.865223999994</v>
      </c>
      <c r="E17" s="24">
        <f t="shared" si="1"/>
        <v>2440.9110509999996</v>
      </c>
      <c r="F17" s="30">
        <v>64304.959968000003</v>
      </c>
      <c r="G17" s="35">
        <f t="shared" si="4"/>
        <v>2679.3733320000001</v>
      </c>
      <c r="H17" s="39">
        <v>65043.560736000007</v>
      </c>
      <c r="I17" s="40">
        <f t="shared" si="2"/>
        <v>2710.1483640000001</v>
      </c>
      <c r="J17" s="46">
        <v>66964.347216000009</v>
      </c>
      <c r="K17" s="51">
        <f t="shared" si="3"/>
        <v>2790.1811340000004</v>
      </c>
    </row>
    <row r="18" spans="1:11" x14ac:dyDescent="0.2">
      <c r="A18" s="7">
        <v>11</v>
      </c>
      <c r="B18" s="15">
        <v>55742.072616000005</v>
      </c>
      <c r="C18" s="19">
        <f t="shared" si="0"/>
        <v>2322.5863590000004</v>
      </c>
      <c r="D18" s="23">
        <v>60148.208232000005</v>
      </c>
      <c r="E18" s="24">
        <f t="shared" si="1"/>
        <v>2506.1753430000003</v>
      </c>
      <c r="F18" s="30">
        <v>66237.419735999996</v>
      </c>
      <c r="G18" s="35">
        <f t="shared" si="4"/>
        <v>2759.8924889999998</v>
      </c>
      <c r="H18" s="39">
        <v>66939.939431999999</v>
      </c>
      <c r="I18" s="40">
        <f t="shared" si="2"/>
        <v>2789.164143</v>
      </c>
      <c r="J18" s="46">
        <v>68909.54148</v>
      </c>
      <c r="K18" s="51">
        <f t="shared" si="3"/>
        <v>2871.2308950000001</v>
      </c>
    </row>
    <row r="19" spans="1:11" x14ac:dyDescent="0.2">
      <c r="A19" s="7">
        <v>12</v>
      </c>
      <c r="B19" s="15">
        <v>57083.439528000003</v>
      </c>
      <c r="C19" s="19">
        <f t="shared" si="0"/>
        <v>2378.476647</v>
      </c>
      <c r="D19" s="23">
        <v>61485.330311999998</v>
      </c>
      <c r="E19" s="24">
        <f t="shared" si="1"/>
        <v>2561.8887629999999</v>
      </c>
      <c r="F19" s="30">
        <v>67691.274696000008</v>
      </c>
      <c r="G19" s="35">
        <f t="shared" si="4"/>
        <v>2820.4697790000005</v>
      </c>
      <c r="H19" s="39">
        <v>68468.078952000011</v>
      </c>
      <c r="I19" s="40">
        <f t="shared" si="2"/>
        <v>2852.8366230000006</v>
      </c>
      <c r="J19" s="46">
        <v>70337.927448000002</v>
      </c>
      <c r="K19" s="51">
        <f t="shared" si="3"/>
        <v>2930.7469770000002</v>
      </c>
    </row>
    <row r="20" spans="1:11" x14ac:dyDescent="0.2">
      <c r="A20" s="7">
        <v>13</v>
      </c>
      <c r="B20" s="15">
        <v>58444.969391999999</v>
      </c>
      <c r="C20" s="19">
        <f t="shared" si="0"/>
        <v>2435.207058</v>
      </c>
      <c r="D20" s="23">
        <v>62804.411855999999</v>
      </c>
      <c r="E20" s="24">
        <f t="shared" si="1"/>
        <v>2616.8504939999998</v>
      </c>
      <c r="F20" s="30">
        <v>69301.127231999999</v>
      </c>
      <c r="G20" s="35">
        <f t="shared" si="4"/>
        <v>2887.5469680000001</v>
      </c>
      <c r="H20" s="39">
        <v>70034.421959999992</v>
      </c>
      <c r="I20" s="40">
        <f t="shared" si="2"/>
        <v>2918.1009149999995</v>
      </c>
      <c r="J20" s="46">
        <v>72005.085216000007</v>
      </c>
      <c r="K20" s="51">
        <f t="shared" si="3"/>
        <v>3000.2118840000003</v>
      </c>
    </row>
    <row r="21" spans="1:11" x14ac:dyDescent="0.2">
      <c r="A21" s="7">
        <v>14</v>
      </c>
      <c r="B21" s="15">
        <v>59716.296576000001</v>
      </c>
      <c r="C21" s="19">
        <f t="shared" si="0"/>
        <v>2488.179024</v>
      </c>
      <c r="D21" s="23">
        <v>64215.818496</v>
      </c>
      <c r="E21" s="24">
        <f t="shared" si="1"/>
        <v>2675.6591039999998</v>
      </c>
      <c r="F21" s="30">
        <v>70735.880447999996</v>
      </c>
      <c r="G21" s="35">
        <f t="shared" si="4"/>
        <v>2947.328352</v>
      </c>
      <c r="H21" s="39">
        <v>71513.745911999998</v>
      </c>
      <c r="I21" s="40">
        <f t="shared" si="2"/>
        <v>2979.7394129999998</v>
      </c>
      <c r="J21" s="46">
        <v>73371.921120000014</v>
      </c>
      <c r="K21" s="51">
        <f t="shared" si="3"/>
        <v>3057.1633800000004</v>
      </c>
    </row>
    <row r="22" spans="1:11" x14ac:dyDescent="0.2">
      <c r="A22" s="7">
        <v>15</v>
      </c>
      <c r="B22" s="15">
        <v>61082.071272000001</v>
      </c>
      <c r="C22" s="19">
        <f t="shared" si="0"/>
        <v>2545.086303</v>
      </c>
      <c r="D22" s="23">
        <v>65508.369839999999</v>
      </c>
      <c r="E22" s="24">
        <f t="shared" si="1"/>
        <v>2729.51541</v>
      </c>
      <c r="F22" s="30">
        <v>72300.101040000009</v>
      </c>
      <c r="G22" s="35">
        <f t="shared" si="4"/>
        <v>3012.5042100000005</v>
      </c>
      <c r="H22" s="39">
        <v>73066.293216000005</v>
      </c>
      <c r="I22" s="40">
        <f t="shared" si="2"/>
        <v>3044.4288840000004</v>
      </c>
      <c r="J22" s="46">
        <v>74970.100367999999</v>
      </c>
      <c r="K22" s="51">
        <f t="shared" si="3"/>
        <v>3123.7541820000001</v>
      </c>
    </row>
    <row r="23" spans="1:11" x14ac:dyDescent="0.2">
      <c r="A23" s="7">
        <v>16</v>
      </c>
      <c r="B23" s="15">
        <v>61691.204664000004</v>
      </c>
      <c r="C23" s="19">
        <f t="shared" si="0"/>
        <v>2570.4668610000003</v>
      </c>
      <c r="D23" s="23">
        <v>66118.564440000002</v>
      </c>
      <c r="E23" s="24">
        <f t="shared" si="1"/>
        <v>2754.9401849999999</v>
      </c>
      <c r="F23" s="30">
        <v>72910.295639999997</v>
      </c>
      <c r="G23" s="35">
        <f t="shared" si="4"/>
        <v>3037.928985</v>
      </c>
      <c r="H23" s="39">
        <v>73676.487816000023</v>
      </c>
      <c r="I23" s="40">
        <f t="shared" si="2"/>
        <v>3069.8536590000008</v>
      </c>
      <c r="J23" s="46">
        <v>75581.356176000001</v>
      </c>
      <c r="K23" s="51">
        <f t="shared" si="3"/>
        <v>3149.2231740000002</v>
      </c>
    </row>
    <row r="24" spans="1:11" x14ac:dyDescent="0.2">
      <c r="A24" s="7">
        <v>17</v>
      </c>
      <c r="B24" s="15">
        <v>62302.460471999999</v>
      </c>
      <c r="C24" s="19">
        <f t="shared" si="0"/>
        <v>2595.935853</v>
      </c>
      <c r="D24" s="23">
        <v>66729.820248000004</v>
      </c>
      <c r="E24" s="24">
        <f t="shared" si="1"/>
        <v>2780.409177</v>
      </c>
      <c r="F24" s="30">
        <v>73520.490240000014</v>
      </c>
      <c r="G24" s="35">
        <f t="shared" si="4"/>
        <v>3063.3537600000004</v>
      </c>
      <c r="H24" s="39">
        <v>74286.682416000011</v>
      </c>
      <c r="I24" s="40">
        <f t="shared" si="2"/>
        <v>3095.2784340000003</v>
      </c>
      <c r="J24" s="46">
        <v>76190.48956799999</v>
      </c>
      <c r="K24" s="51">
        <f t="shared" si="3"/>
        <v>3174.6037319999996</v>
      </c>
    </row>
    <row r="25" spans="1:11" x14ac:dyDescent="0.2">
      <c r="A25" s="7">
        <v>18</v>
      </c>
      <c r="B25" s="15">
        <v>63159.916536000004</v>
      </c>
      <c r="C25" s="19">
        <f t="shared" si="0"/>
        <v>2631.6631890000003</v>
      </c>
      <c r="D25" s="23">
        <v>67678.540200000003</v>
      </c>
      <c r="E25" s="24">
        <f t="shared" si="1"/>
        <v>2819.939175</v>
      </c>
      <c r="F25" s="30">
        <v>74607.167232000007</v>
      </c>
      <c r="G25" s="35">
        <f t="shared" si="4"/>
        <v>3108.6319680000001</v>
      </c>
      <c r="H25" s="39">
        <v>75389.277528000006</v>
      </c>
      <c r="I25" s="40">
        <f t="shared" si="2"/>
        <v>3141.2198970000004</v>
      </c>
      <c r="J25" s="46">
        <v>77330.226959999985</v>
      </c>
      <c r="K25" s="51">
        <f t="shared" si="3"/>
        <v>3222.0927899999992</v>
      </c>
    </row>
    <row r="28" spans="1:11" ht="62" customHeight="1" x14ac:dyDescent="0.2">
      <c r="A28" s="3" t="s">
        <v>19</v>
      </c>
      <c r="B28" s="4"/>
      <c r="C28" s="4"/>
      <c r="D28" s="4"/>
      <c r="E28" s="4"/>
      <c r="F28" s="4"/>
      <c r="G28" s="4"/>
      <c r="H28" s="4"/>
      <c r="I28" s="4"/>
      <c r="J28" s="4"/>
      <c r="K28" s="4"/>
    </row>
  </sheetData>
  <mergeCells count="7">
    <mergeCell ref="A28:K28"/>
    <mergeCell ref="H5:I5"/>
    <mergeCell ref="J5:K5"/>
    <mergeCell ref="D5:E5"/>
    <mergeCell ref="A5:A6"/>
    <mergeCell ref="B5:C5"/>
    <mergeCell ref="F5:G5"/>
  </mergeCells>
  <phoneticPr fontId="5" type="noConversion"/>
  <pageMargins left="0.75" right="0.75" top="1" bottom="1" header="0.5" footer="0.5"/>
  <pageSetup scale="92" orientation="landscape" horizontalDpi="4294967292" verticalDpi="4294967292"/>
  <colBreaks count="1" manualBreakCount="1">
    <brk id="11" max="1048575" man="1"/>
  </colBreaks>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J26"/>
  <sheetViews>
    <sheetView tabSelected="1" view="pageBreakPreview" topLeftCell="A6" zoomScale="150" zoomScaleNormal="100" zoomScaleSheetLayoutView="150" workbookViewId="0">
      <selection activeCell="K18" sqref="K18"/>
    </sheetView>
  </sheetViews>
  <sheetFormatPr baseColWidth="10" defaultRowHeight="16" x14ac:dyDescent="0.2"/>
  <cols>
    <col min="1" max="1" width="7.6640625" customWidth="1"/>
    <col min="2" max="2" width="4.83203125" bestFit="1" customWidth="1"/>
    <col min="4" max="4" width="12.6640625" bestFit="1" customWidth="1"/>
    <col min="6" max="6" width="12.6640625" bestFit="1" customWidth="1"/>
    <col min="8" max="8" width="12.6640625" bestFit="1" customWidth="1"/>
    <col min="10" max="10" width="12.6640625" bestFit="1" customWidth="1"/>
  </cols>
  <sheetData>
    <row r="1" spans="1:10" x14ac:dyDescent="0.2">
      <c r="B1" s="1" t="s">
        <v>7</v>
      </c>
      <c r="C1" s="2"/>
      <c r="D1" s="2"/>
      <c r="E1" s="2"/>
      <c r="F1" s="2"/>
      <c r="G1" s="2"/>
      <c r="H1" s="2"/>
      <c r="I1" s="2"/>
      <c r="J1" s="2"/>
    </row>
    <row r="2" spans="1:10" x14ac:dyDescent="0.2">
      <c r="B2" s="1" t="s">
        <v>17</v>
      </c>
      <c r="C2" s="2"/>
      <c r="D2" s="2"/>
      <c r="E2" s="2"/>
      <c r="F2" s="2"/>
      <c r="G2" s="2"/>
      <c r="H2" s="2"/>
      <c r="I2" s="2"/>
      <c r="J2" s="2"/>
    </row>
    <row r="3" spans="1:10" x14ac:dyDescent="0.2">
      <c r="B3" s="1" t="s">
        <v>20</v>
      </c>
      <c r="C3" s="2"/>
      <c r="D3" s="2"/>
      <c r="E3" s="2"/>
      <c r="F3" s="2"/>
      <c r="G3" s="2"/>
      <c r="H3" s="2"/>
      <c r="I3" s="2"/>
      <c r="J3" s="2"/>
    </row>
    <row r="4" spans="1:10" x14ac:dyDescent="0.2">
      <c r="A4" s="1"/>
      <c r="B4" s="1"/>
      <c r="C4" s="2"/>
      <c r="D4" s="2"/>
      <c r="E4" s="2"/>
      <c r="F4" s="2"/>
      <c r="G4" s="2"/>
      <c r="H4" s="2"/>
      <c r="I4" s="2"/>
      <c r="J4" s="2"/>
    </row>
    <row r="6" spans="1:10" x14ac:dyDescent="0.2">
      <c r="A6" s="8" t="s">
        <v>12</v>
      </c>
      <c r="B6" s="5" t="s">
        <v>0</v>
      </c>
      <c r="C6" s="20" t="s">
        <v>13</v>
      </c>
      <c r="D6" s="21"/>
      <c r="E6" s="32" t="s">
        <v>14</v>
      </c>
      <c r="F6" s="33"/>
      <c r="G6" s="36" t="s">
        <v>15</v>
      </c>
      <c r="H6" s="37"/>
      <c r="I6" s="48" t="s">
        <v>16</v>
      </c>
      <c r="J6" s="49"/>
    </row>
    <row r="7" spans="1:10" ht="29" customHeight="1" x14ac:dyDescent="0.2">
      <c r="A7" s="8"/>
      <c r="B7" s="6"/>
      <c r="C7" s="22" t="s">
        <v>2</v>
      </c>
      <c r="D7" s="22" t="s">
        <v>9</v>
      </c>
      <c r="E7" s="29" t="s">
        <v>2</v>
      </c>
      <c r="F7" s="29" t="s">
        <v>9</v>
      </c>
      <c r="G7" s="38" t="s">
        <v>2</v>
      </c>
      <c r="H7" s="38" t="s">
        <v>9</v>
      </c>
      <c r="I7" s="45" t="s">
        <v>2</v>
      </c>
      <c r="J7" s="45" t="s">
        <v>9</v>
      </c>
    </row>
    <row r="8" spans="1:10" x14ac:dyDescent="0.2">
      <c r="A8" s="7">
        <v>0</v>
      </c>
      <c r="B8" s="7">
        <v>0</v>
      </c>
      <c r="C8" s="25">
        <v>53437.98</v>
      </c>
      <c r="D8" s="24">
        <f>C8/24</f>
        <v>2226.5825</v>
      </c>
      <c r="E8" s="34">
        <v>57581.995046399999</v>
      </c>
      <c r="F8" s="35">
        <f>E8/24</f>
        <v>2399.2497936</v>
      </c>
      <c r="G8" s="41">
        <v>58393.288562400005</v>
      </c>
      <c r="H8" s="40">
        <f>G8/24</f>
        <v>2433.0536901</v>
      </c>
      <c r="I8" s="50">
        <v>60540.006225600002</v>
      </c>
      <c r="J8" s="51">
        <f>I8/24</f>
        <v>2522.5002594000002</v>
      </c>
    </row>
    <row r="9" spans="1:10" x14ac:dyDescent="0.2">
      <c r="A9" s="7">
        <v>1</v>
      </c>
      <c r="B9" s="7">
        <v>1</v>
      </c>
      <c r="C9" s="25">
        <v>54683.519999999997</v>
      </c>
      <c r="D9" s="24">
        <f t="shared" ref="D9:D26" si="0">C9/24</f>
        <v>2278.48</v>
      </c>
      <c r="E9" s="34">
        <v>59029.482758400001</v>
      </c>
      <c r="F9" s="35">
        <f>E9/24</f>
        <v>2459.5617815999999</v>
      </c>
      <c r="G9" s="41">
        <v>59852.449562400012</v>
      </c>
      <c r="H9" s="40">
        <f t="shared" ref="H9:H26" si="1">G9/24</f>
        <v>2493.8520651000003</v>
      </c>
      <c r="I9" s="50">
        <v>61922.123524800008</v>
      </c>
      <c r="J9" s="51">
        <f t="shared" ref="J9:J26" si="2">I9/24</f>
        <v>2580.0884802000005</v>
      </c>
    </row>
    <row r="10" spans="1:10" x14ac:dyDescent="0.2">
      <c r="A10" s="7">
        <v>2</v>
      </c>
      <c r="B10" s="7">
        <v>2</v>
      </c>
      <c r="C10" s="25">
        <v>55883.53</v>
      </c>
      <c r="D10" s="24">
        <f t="shared" si="0"/>
        <v>2328.4804166666668</v>
      </c>
      <c r="E10" s="34">
        <v>60406.930742400007</v>
      </c>
      <c r="F10" s="35">
        <f t="shared" ref="F10:F26" si="3">E10/24</f>
        <v>2516.9554476000003</v>
      </c>
      <c r="G10" s="41">
        <v>61226.395560000004</v>
      </c>
      <c r="H10" s="40">
        <f t="shared" si="1"/>
        <v>2551.099815</v>
      </c>
      <c r="I10" s="50">
        <v>63297.236851199996</v>
      </c>
      <c r="J10" s="51">
        <f t="shared" si="2"/>
        <v>2637.3848687999998</v>
      </c>
    </row>
    <row r="11" spans="1:10" x14ac:dyDescent="0.2">
      <c r="A11" s="7">
        <v>3</v>
      </c>
      <c r="B11" s="7">
        <v>3</v>
      </c>
      <c r="C11" s="25">
        <v>57035.69</v>
      </c>
      <c r="D11" s="24">
        <f t="shared" si="0"/>
        <v>2376.4870833333334</v>
      </c>
      <c r="E11" s="34">
        <v>61755.195506400007</v>
      </c>
      <c r="F11" s="35">
        <f t="shared" si="3"/>
        <v>2573.1331461000004</v>
      </c>
      <c r="G11" s="41">
        <v>62578.16231040001</v>
      </c>
      <c r="H11" s="40">
        <f t="shared" si="1"/>
        <v>2607.4234296000004</v>
      </c>
      <c r="I11" s="50">
        <v>64643.166957599999</v>
      </c>
      <c r="J11" s="51">
        <f t="shared" si="2"/>
        <v>2693.4652898999998</v>
      </c>
    </row>
    <row r="12" spans="1:10" x14ac:dyDescent="0.2">
      <c r="A12" s="7">
        <v>4</v>
      </c>
      <c r="B12" s="7">
        <v>4</v>
      </c>
      <c r="C12" s="25">
        <v>58206.52</v>
      </c>
      <c r="D12" s="24">
        <f t="shared" si="0"/>
        <v>2425.2716666666665</v>
      </c>
      <c r="E12" s="34">
        <v>63231.866438400008</v>
      </c>
      <c r="F12" s="35">
        <f t="shared" si="3"/>
        <v>2634.6611016000002</v>
      </c>
      <c r="G12" s="41">
        <v>64058.335228800017</v>
      </c>
      <c r="H12" s="40">
        <f t="shared" si="1"/>
        <v>2669.0973012000009</v>
      </c>
      <c r="I12" s="50">
        <v>66189.877617599996</v>
      </c>
      <c r="J12" s="51">
        <f t="shared" si="2"/>
        <v>2757.9115674</v>
      </c>
    </row>
    <row r="13" spans="1:10" x14ac:dyDescent="0.2">
      <c r="A13" s="7">
        <v>5</v>
      </c>
      <c r="B13" s="7">
        <v>5</v>
      </c>
      <c r="C13" s="25">
        <v>59203.41</v>
      </c>
      <c r="D13" s="24">
        <f t="shared" si="0"/>
        <v>2466.8087500000001</v>
      </c>
      <c r="E13" s="34">
        <v>64399.195238400011</v>
      </c>
      <c r="F13" s="35">
        <f t="shared" si="3"/>
        <v>2683.2998016000006</v>
      </c>
      <c r="G13" s="41">
        <v>65187.142178400005</v>
      </c>
      <c r="H13" s="40">
        <f t="shared" si="1"/>
        <v>2716.1309241000004</v>
      </c>
      <c r="I13" s="50">
        <v>67350.202444800016</v>
      </c>
      <c r="J13" s="51">
        <f t="shared" si="2"/>
        <v>2806.2584352000008</v>
      </c>
    </row>
    <row r="14" spans="1:10" x14ac:dyDescent="0.2">
      <c r="A14" s="7">
        <v>6</v>
      </c>
      <c r="B14" s="7">
        <v>6</v>
      </c>
      <c r="C14" s="25">
        <v>60631.06</v>
      </c>
      <c r="D14" s="24">
        <f t="shared" si="0"/>
        <v>2526.2941666666666</v>
      </c>
      <c r="E14" s="34">
        <v>66052.132819199993</v>
      </c>
      <c r="F14" s="35">
        <f t="shared" si="3"/>
        <v>2752.1722007999997</v>
      </c>
      <c r="G14" s="41">
        <v>66849.418389600003</v>
      </c>
      <c r="H14" s="40">
        <f t="shared" si="1"/>
        <v>2785.3924329000001</v>
      </c>
      <c r="I14" s="50">
        <v>69008.976669600001</v>
      </c>
      <c r="J14" s="51">
        <f t="shared" si="2"/>
        <v>2875.3740278999999</v>
      </c>
    </row>
    <row r="15" spans="1:10" x14ac:dyDescent="0.2">
      <c r="A15" s="7">
        <v>7</v>
      </c>
      <c r="B15" s="7">
        <v>7</v>
      </c>
      <c r="C15" s="25">
        <v>61361.81</v>
      </c>
      <c r="D15" s="24">
        <f t="shared" si="0"/>
        <v>2556.7420833333331</v>
      </c>
      <c r="E15" s="34">
        <v>67158.760521599994</v>
      </c>
      <c r="F15" s="35">
        <f t="shared" si="3"/>
        <v>2798.2816883999999</v>
      </c>
      <c r="G15" s="41">
        <v>67993.400613599995</v>
      </c>
      <c r="H15" s="40">
        <f t="shared" si="1"/>
        <v>2833.0583588999998</v>
      </c>
      <c r="I15" s="50">
        <v>70066.576562400005</v>
      </c>
      <c r="J15" s="51">
        <f t="shared" si="2"/>
        <v>2919.4406901000002</v>
      </c>
    </row>
    <row r="16" spans="1:10" x14ac:dyDescent="0.2">
      <c r="A16" s="7">
        <v>8</v>
      </c>
      <c r="B16" s="7">
        <v>8</v>
      </c>
      <c r="C16" s="25">
        <v>62584</v>
      </c>
      <c r="D16" s="24">
        <f t="shared" si="0"/>
        <v>2607.6666666666665</v>
      </c>
      <c r="E16" s="34">
        <v>68481.344052</v>
      </c>
      <c r="F16" s="35">
        <f t="shared" si="3"/>
        <v>2853.3893355</v>
      </c>
      <c r="G16" s="41">
        <v>69339.330720000013</v>
      </c>
      <c r="H16" s="40">
        <f t="shared" si="1"/>
        <v>2889.1387800000007</v>
      </c>
      <c r="I16" s="50">
        <v>71385.658106400006</v>
      </c>
      <c r="J16" s="51">
        <f t="shared" si="2"/>
        <v>2974.4024211000001</v>
      </c>
    </row>
    <row r="17" spans="1:10" x14ac:dyDescent="0.2">
      <c r="A17" s="7">
        <v>9</v>
      </c>
      <c r="B17" s="7">
        <v>9</v>
      </c>
      <c r="C17" s="25">
        <v>63165.33</v>
      </c>
      <c r="D17" s="24">
        <f t="shared" si="0"/>
        <v>2631.8887500000001</v>
      </c>
      <c r="E17" s="34">
        <v>69312.482157599996</v>
      </c>
      <c r="F17" s="35">
        <f t="shared" si="3"/>
        <v>2888.0200898999997</v>
      </c>
      <c r="G17" s="41">
        <v>70156.460879999999</v>
      </c>
      <c r="H17" s="40">
        <f t="shared" si="1"/>
        <v>2923.1858699999998</v>
      </c>
      <c r="I17" s="50">
        <v>72716.412938399997</v>
      </c>
      <c r="J17" s="51">
        <f t="shared" si="2"/>
        <v>3029.8505390999999</v>
      </c>
    </row>
    <row r="18" spans="1:10" x14ac:dyDescent="0.2">
      <c r="A18" s="7" t="s">
        <v>11</v>
      </c>
      <c r="B18" s="7">
        <v>10</v>
      </c>
      <c r="C18" s="25">
        <v>64440.05</v>
      </c>
      <c r="D18" s="24">
        <f t="shared" si="0"/>
        <v>2685.0020833333333</v>
      </c>
      <c r="E18" s="34">
        <v>70735.455964800014</v>
      </c>
      <c r="F18" s="35">
        <f t="shared" si="3"/>
        <v>2947.3106652000006</v>
      </c>
      <c r="G18" s="41">
        <v>71547.916809599992</v>
      </c>
      <c r="H18" s="40">
        <f t="shared" si="1"/>
        <v>2981.1632003999998</v>
      </c>
      <c r="I18" s="50">
        <v>73660.781937600012</v>
      </c>
      <c r="J18" s="51">
        <f t="shared" si="2"/>
        <v>3069.1992474000003</v>
      </c>
    </row>
    <row r="19" spans="1:10" x14ac:dyDescent="0.2">
      <c r="A19" s="9"/>
      <c r="B19" s="7">
        <v>11</v>
      </c>
      <c r="C19" s="25">
        <v>66163.03</v>
      </c>
      <c r="D19" s="24">
        <f t="shared" si="0"/>
        <v>2756.7929166666668</v>
      </c>
      <c r="E19" s="34">
        <v>72861.161709599997</v>
      </c>
      <c r="F19" s="35">
        <f t="shared" si="3"/>
        <v>3035.8817378999997</v>
      </c>
      <c r="G19" s="41">
        <v>73633.933375199995</v>
      </c>
      <c r="H19" s="40">
        <f t="shared" si="1"/>
        <v>3068.0805572999998</v>
      </c>
      <c r="I19" s="50">
        <v>75800.495628000019</v>
      </c>
      <c r="J19" s="51">
        <f t="shared" si="2"/>
        <v>3158.3539845000009</v>
      </c>
    </row>
    <row r="20" spans="1:10" x14ac:dyDescent="0.2">
      <c r="A20" s="9"/>
      <c r="B20" s="7">
        <v>12</v>
      </c>
      <c r="C20" s="25">
        <v>67633.86</v>
      </c>
      <c r="D20" s="24">
        <f t="shared" si="0"/>
        <v>2818.0774999999999</v>
      </c>
      <c r="E20" s="34">
        <v>74460.402165599997</v>
      </c>
      <c r="F20" s="35">
        <f t="shared" si="3"/>
        <v>3102.5167569</v>
      </c>
      <c r="G20" s="41">
        <v>75314.886847200003</v>
      </c>
      <c r="H20" s="40">
        <f t="shared" si="1"/>
        <v>3138.1202853</v>
      </c>
      <c r="I20" s="50">
        <v>77371.720192800014</v>
      </c>
      <c r="J20" s="51">
        <f t="shared" si="2"/>
        <v>3223.8216747000006</v>
      </c>
    </row>
    <row r="21" spans="1:10" x14ac:dyDescent="0.2">
      <c r="A21" s="9"/>
      <c r="B21" s="7">
        <v>13</v>
      </c>
      <c r="C21" s="25">
        <v>69084.850000000006</v>
      </c>
      <c r="D21" s="24">
        <f t="shared" si="0"/>
        <v>2878.5354166666671</v>
      </c>
      <c r="E21" s="34">
        <v>76231.239955199984</v>
      </c>
      <c r="F21" s="35">
        <f t="shared" si="3"/>
        <v>3176.3016647999993</v>
      </c>
      <c r="G21" s="41">
        <v>77037.864156000011</v>
      </c>
      <c r="H21" s="40">
        <f t="shared" si="1"/>
        <v>3209.9110065000004</v>
      </c>
      <c r="I21" s="50">
        <v>79205.593737600007</v>
      </c>
      <c r="J21" s="51">
        <f t="shared" si="2"/>
        <v>3300.2330724000003</v>
      </c>
    </row>
    <row r="22" spans="1:10" x14ac:dyDescent="0.2">
      <c r="A22" s="9"/>
      <c r="B22" s="7">
        <v>14</v>
      </c>
      <c r="C22" s="25">
        <v>70637.399999999994</v>
      </c>
      <c r="D22" s="24">
        <f t="shared" si="0"/>
        <v>2943.2249999999999</v>
      </c>
      <c r="E22" s="34">
        <v>77809.468492800021</v>
      </c>
      <c r="F22" s="35">
        <f t="shared" si="3"/>
        <v>3242.0611872000009</v>
      </c>
      <c r="G22" s="41">
        <v>78665.1205032</v>
      </c>
      <c r="H22" s="40">
        <f t="shared" si="1"/>
        <v>3277.7133543</v>
      </c>
      <c r="I22" s="50">
        <v>80709.113232000003</v>
      </c>
      <c r="J22" s="51">
        <f t="shared" si="2"/>
        <v>3362.8797180000001</v>
      </c>
    </row>
    <row r="23" spans="1:10" x14ac:dyDescent="0.2">
      <c r="A23" s="9"/>
      <c r="B23" s="7">
        <v>15</v>
      </c>
      <c r="C23" s="25">
        <v>72059.210000000006</v>
      </c>
      <c r="D23" s="24">
        <f t="shared" si="0"/>
        <v>3002.4670833333334</v>
      </c>
      <c r="E23" s="34">
        <v>79530.111143999995</v>
      </c>
      <c r="F23" s="35">
        <f t="shared" si="3"/>
        <v>3313.7546309999998</v>
      </c>
      <c r="G23" s="41">
        <v>80372.92253760001</v>
      </c>
      <c r="H23" s="40">
        <f t="shared" si="1"/>
        <v>3348.8717724000003</v>
      </c>
      <c r="I23" s="50">
        <v>82467.110404799998</v>
      </c>
      <c r="J23" s="51">
        <f t="shared" si="2"/>
        <v>3436.1296001999999</v>
      </c>
    </row>
    <row r="24" spans="1:10" x14ac:dyDescent="0.2">
      <c r="A24" s="9"/>
      <c r="B24" s="7">
        <v>16</v>
      </c>
      <c r="C24" s="25">
        <v>72730.42</v>
      </c>
      <c r="D24" s="24">
        <f t="shared" si="0"/>
        <v>3030.4341666666664</v>
      </c>
      <c r="E24" s="34">
        <v>80201.325203999993</v>
      </c>
      <c r="F24" s="35">
        <f t="shared" si="3"/>
        <v>3341.7218834999999</v>
      </c>
      <c r="G24" s="41">
        <v>81044.136597599994</v>
      </c>
      <c r="H24" s="40">
        <f t="shared" si="1"/>
        <v>3376.8390248999999</v>
      </c>
      <c r="I24" s="50">
        <v>83139.491793600013</v>
      </c>
      <c r="J24" s="51">
        <f t="shared" si="2"/>
        <v>3464.1454914000005</v>
      </c>
    </row>
    <row r="25" spans="1:10" x14ac:dyDescent="0.2">
      <c r="A25" s="9"/>
      <c r="B25" s="7">
        <v>17</v>
      </c>
      <c r="C25" s="25">
        <v>73402.8</v>
      </c>
      <c r="D25" s="24">
        <f t="shared" si="0"/>
        <v>3058.4500000000003</v>
      </c>
      <c r="E25" s="34">
        <v>80872.539264000006</v>
      </c>
      <c r="F25" s="35">
        <f t="shared" si="3"/>
        <v>3369.6891360000004</v>
      </c>
      <c r="G25" s="41">
        <v>81715.350657599993</v>
      </c>
      <c r="H25" s="40">
        <f t="shared" si="1"/>
        <v>3404.8062773999995</v>
      </c>
      <c r="I25" s="50">
        <v>83809.538524800024</v>
      </c>
      <c r="J25" s="51">
        <f t="shared" si="2"/>
        <v>3492.064105200001</v>
      </c>
    </row>
    <row r="26" spans="1:10" x14ac:dyDescent="0.2">
      <c r="A26" s="9"/>
      <c r="B26" s="7">
        <v>18</v>
      </c>
      <c r="C26" s="25">
        <v>74446.39</v>
      </c>
      <c r="D26" s="24">
        <f t="shared" si="0"/>
        <v>3101.9329166666666</v>
      </c>
      <c r="E26" s="34">
        <v>82067.883955199984</v>
      </c>
      <c r="F26" s="35">
        <f t="shared" si="3"/>
        <v>3419.4951647999992</v>
      </c>
      <c r="G26" s="41">
        <v>82928.205280800015</v>
      </c>
      <c r="H26" s="40">
        <f t="shared" si="1"/>
        <v>3455.3418867000005</v>
      </c>
      <c r="I26" s="50">
        <v>85063.249656</v>
      </c>
      <c r="J26" s="51">
        <f t="shared" si="2"/>
        <v>3544.3020689999998</v>
      </c>
    </row>
  </sheetData>
  <mergeCells count="6">
    <mergeCell ref="I6:J6"/>
    <mergeCell ref="A6:A7"/>
    <mergeCell ref="B6:B7"/>
    <mergeCell ref="C6:D6"/>
    <mergeCell ref="E6:F6"/>
    <mergeCell ref="G6:H6"/>
  </mergeCells>
  <phoneticPr fontId="5" type="noConversion"/>
  <pageMargins left="0.75" right="0.75" top="1" bottom="1" header="0.5" footer="0.5"/>
  <pageSetup orientation="landscape" horizontalDpi="4294967292" verticalDpi="4294967292"/>
  <colBreaks count="1" manualBreakCount="1">
    <brk id="10" max="1048575" man="1"/>
  </colBreaks>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L27"/>
  <sheetViews>
    <sheetView tabSelected="1" view="pageBreakPreview" topLeftCell="A6" zoomScale="150" zoomScaleNormal="100" zoomScaleSheetLayoutView="150" workbookViewId="0">
      <selection activeCell="K18" sqref="K18"/>
    </sheetView>
  </sheetViews>
  <sheetFormatPr baseColWidth="10" defaultRowHeight="16" x14ac:dyDescent="0.2"/>
  <cols>
    <col min="1" max="1" width="7.5" customWidth="1"/>
    <col min="2" max="2" width="4.83203125" bestFit="1" customWidth="1"/>
    <col min="4" max="4" width="12.6640625" bestFit="1" customWidth="1"/>
    <col min="6" max="6" width="12.6640625" bestFit="1" customWidth="1"/>
    <col min="8" max="8" width="12.6640625" bestFit="1" customWidth="1"/>
    <col min="10" max="10" width="12.6640625" bestFit="1" customWidth="1"/>
    <col min="12" max="12" width="12.6640625" bestFit="1" customWidth="1"/>
  </cols>
  <sheetData>
    <row r="1" spans="1:12" x14ac:dyDescent="0.2">
      <c r="A1" s="1" t="s">
        <v>7</v>
      </c>
      <c r="B1" s="2"/>
      <c r="C1" s="2"/>
      <c r="D1" s="2"/>
      <c r="E1" s="2"/>
      <c r="F1" s="2"/>
      <c r="G1" s="2"/>
      <c r="H1" s="2"/>
      <c r="I1" s="2"/>
      <c r="J1" s="2"/>
      <c r="K1" s="2"/>
      <c r="L1" s="2"/>
    </row>
    <row r="2" spans="1:12" x14ac:dyDescent="0.2">
      <c r="A2" s="1" t="s">
        <v>10</v>
      </c>
      <c r="B2" s="2"/>
      <c r="C2" s="2"/>
      <c r="D2" s="2"/>
      <c r="E2" s="2"/>
      <c r="F2" s="2"/>
      <c r="G2" s="2"/>
      <c r="H2" s="2"/>
      <c r="I2" s="2"/>
      <c r="J2" s="2"/>
      <c r="K2" s="2"/>
      <c r="L2" s="2"/>
    </row>
    <row r="3" spans="1:12" x14ac:dyDescent="0.2">
      <c r="A3" s="1" t="s">
        <v>18</v>
      </c>
      <c r="B3" s="2"/>
      <c r="C3" s="2"/>
      <c r="D3" s="2"/>
      <c r="E3" s="2"/>
      <c r="F3" s="2"/>
      <c r="G3" s="2"/>
      <c r="H3" s="2"/>
      <c r="I3" s="2"/>
      <c r="J3" s="2"/>
      <c r="K3" s="2"/>
      <c r="L3" s="2"/>
    </row>
    <row r="4" spans="1:12" x14ac:dyDescent="0.2">
      <c r="A4" s="1" t="s">
        <v>20</v>
      </c>
      <c r="B4" s="2"/>
      <c r="C4" s="2"/>
      <c r="D4" s="2"/>
      <c r="E4" s="2"/>
      <c r="F4" s="2"/>
      <c r="G4" s="2"/>
      <c r="H4" s="2"/>
      <c r="I4" s="2"/>
      <c r="J4" s="2"/>
      <c r="K4" s="2"/>
      <c r="L4" s="2"/>
    </row>
    <row r="5" spans="1:12" x14ac:dyDescent="0.2">
      <c r="A5" s="1"/>
      <c r="B5" s="2"/>
      <c r="C5" s="2"/>
      <c r="D5" s="2"/>
      <c r="E5" s="2"/>
      <c r="F5" s="2"/>
      <c r="G5" s="2"/>
      <c r="H5" s="2"/>
      <c r="I5" s="2"/>
      <c r="J5" s="2"/>
      <c r="K5" s="2"/>
      <c r="L5" s="2"/>
    </row>
    <row r="7" spans="1:12" x14ac:dyDescent="0.2">
      <c r="A7" s="8" t="s">
        <v>12</v>
      </c>
      <c r="B7" s="10" t="s">
        <v>0</v>
      </c>
      <c r="C7" s="13" t="str">
        <f>TSS!B5</f>
        <v>Bachelor's Degree</v>
      </c>
      <c r="D7" s="13"/>
      <c r="E7" s="26" t="s">
        <v>13</v>
      </c>
      <c r="F7" s="26"/>
      <c r="G7" s="28" t="s">
        <v>14</v>
      </c>
      <c r="H7" s="28"/>
      <c r="I7" s="42" t="s">
        <v>15</v>
      </c>
      <c r="J7" s="42"/>
      <c r="K7" s="44" t="s">
        <v>16</v>
      </c>
      <c r="L7" s="44"/>
    </row>
    <row r="8" spans="1:12" ht="30" customHeight="1" x14ac:dyDescent="0.2">
      <c r="A8" s="11"/>
      <c r="B8" s="12"/>
      <c r="C8" s="14" t="s">
        <v>2</v>
      </c>
      <c r="D8" s="14" t="s">
        <v>9</v>
      </c>
      <c r="E8" s="22" t="s">
        <v>2</v>
      </c>
      <c r="F8" s="22" t="s">
        <v>9</v>
      </c>
      <c r="G8" s="29" t="s">
        <v>2</v>
      </c>
      <c r="H8" s="29" t="s">
        <v>9</v>
      </c>
      <c r="I8" s="38" t="s">
        <v>2</v>
      </c>
      <c r="J8" s="38" t="s">
        <v>9</v>
      </c>
      <c r="K8" s="45" t="s">
        <v>2</v>
      </c>
      <c r="L8" s="45" t="s">
        <v>9</v>
      </c>
    </row>
    <row r="9" spans="1:12" x14ac:dyDescent="0.2">
      <c r="A9" s="7">
        <v>0</v>
      </c>
      <c r="B9" s="7">
        <v>0</v>
      </c>
      <c r="C9" s="15">
        <v>48118.354343999999</v>
      </c>
      <c r="D9" s="16">
        <f>C9/24</f>
        <v>2004.931431</v>
      </c>
      <c r="E9" s="23">
        <v>52824.811823999997</v>
      </c>
      <c r="F9" s="27">
        <f>E9/24</f>
        <v>2201.0338259999999</v>
      </c>
      <c r="G9" s="30">
        <v>56592.100223999994</v>
      </c>
      <c r="H9" s="31">
        <f>G9/24</f>
        <v>2358.0041759999999</v>
      </c>
      <c r="I9" s="39">
        <v>57329.639783999999</v>
      </c>
      <c r="J9" s="43">
        <f>I9/24</f>
        <v>2388.7349909999998</v>
      </c>
      <c r="K9" s="46">
        <v>59281.201296000007</v>
      </c>
      <c r="L9" s="47">
        <f>K9/24</f>
        <v>2470.0500540000003</v>
      </c>
    </row>
    <row r="10" spans="1:12" x14ac:dyDescent="0.2">
      <c r="A10" s="7">
        <v>1</v>
      </c>
      <c r="B10" s="7">
        <v>1</v>
      </c>
      <c r="C10" s="15">
        <v>49034.17684800001</v>
      </c>
      <c r="D10" s="16">
        <f t="shared" ref="D10:D27" si="0">C10/24</f>
        <v>2043.0907020000004</v>
      </c>
      <c r="E10" s="23">
        <v>53957.120759999998</v>
      </c>
      <c r="F10" s="27">
        <f t="shared" ref="F10:F27" si="1">E10/24</f>
        <v>2248.2133650000001</v>
      </c>
      <c r="G10" s="30">
        <v>57907.998144000005</v>
      </c>
      <c r="H10" s="31">
        <f t="shared" ref="H10:H27" si="2">G10/24</f>
        <v>2412.8332560000003</v>
      </c>
      <c r="I10" s="39">
        <v>58656.149784000001</v>
      </c>
      <c r="J10" s="43">
        <f t="shared" ref="J10:J27" si="3">I10/24</f>
        <v>2444.006241</v>
      </c>
      <c r="K10" s="46">
        <v>60537.671567999998</v>
      </c>
      <c r="L10" s="47">
        <f t="shared" ref="L10:L27" si="4">K10/24</f>
        <v>2522.4029820000001</v>
      </c>
    </row>
    <row r="11" spans="1:12" x14ac:dyDescent="0.2">
      <c r="A11" s="7">
        <v>2</v>
      </c>
      <c r="B11" s="7">
        <v>2</v>
      </c>
      <c r="C11" s="15">
        <v>50150.567664000009</v>
      </c>
      <c r="D11" s="16">
        <f t="shared" si="0"/>
        <v>2089.6069860000002</v>
      </c>
      <c r="E11" s="23">
        <v>55048.042583999995</v>
      </c>
      <c r="F11" s="27">
        <f t="shared" si="1"/>
        <v>2293.6684409999998</v>
      </c>
      <c r="G11" s="30">
        <v>59160.223583999999</v>
      </c>
      <c r="H11" s="31">
        <f t="shared" si="2"/>
        <v>2465.0093160000001</v>
      </c>
      <c r="I11" s="39">
        <v>59905.191600000006</v>
      </c>
      <c r="J11" s="43">
        <f t="shared" si="3"/>
        <v>2496.0496500000004</v>
      </c>
      <c r="K11" s="46">
        <v>61787.774592000002</v>
      </c>
      <c r="L11" s="47">
        <f t="shared" si="4"/>
        <v>2574.4906080000001</v>
      </c>
    </row>
    <row r="12" spans="1:12" x14ac:dyDescent="0.2">
      <c r="A12" s="7">
        <v>3</v>
      </c>
      <c r="B12" s="7">
        <v>3</v>
      </c>
      <c r="C12" s="15">
        <v>51193.735128</v>
      </c>
      <c r="D12" s="16">
        <f t="shared" si="0"/>
        <v>2133.0722970000002</v>
      </c>
      <c r="E12" s="23">
        <v>56095.454880000012</v>
      </c>
      <c r="F12" s="27">
        <f t="shared" si="1"/>
        <v>2337.3106200000007</v>
      </c>
      <c r="G12" s="30">
        <v>60385.918824</v>
      </c>
      <c r="H12" s="31">
        <f t="shared" si="2"/>
        <v>2516.0799510000002</v>
      </c>
      <c r="I12" s="39">
        <v>61134.070464000011</v>
      </c>
      <c r="J12" s="43">
        <f t="shared" si="3"/>
        <v>2547.2529360000003</v>
      </c>
      <c r="K12" s="46">
        <v>63011.347416000004</v>
      </c>
      <c r="L12" s="47">
        <f t="shared" si="4"/>
        <v>2625.4728090000003</v>
      </c>
    </row>
    <row r="13" spans="1:12" x14ac:dyDescent="0.2">
      <c r="A13" s="7">
        <v>4</v>
      </c>
      <c r="B13" s="7">
        <v>4</v>
      </c>
      <c r="C13" s="15">
        <v>52168.985280000008</v>
      </c>
      <c r="D13" s="16">
        <f t="shared" si="0"/>
        <v>2173.7077200000003</v>
      </c>
      <c r="E13" s="23">
        <v>57159.846504000008</v>
      </c>
      <c r="F13" s="27">
        <f t="shared" si="1"/>
        <v>2381.6602710000002</v>
      </c>
      <c r="G13" s="30">
        <v>61728.346944000004</v>
      </c>
      <c r="H13" s="31">
        <f t="shared" si="2"/>
        <v>2572.0144560000003</v>
      </c>
      <c r="I13" s="39">
        <v>62479.682208000013</v>
      </c>
      <c r="J13" s="43">
        <f t="shared" si="3"/>
        <v>2603.3200920000004</v>
      </c>
      <c r="K13" s="46">
        <v>64417.448016000002</v>
      </c>
      <c r="L13" s="47">
        <f t="shared" si="4"/>
        <v>2684.0603340000002</v>
      </c>
    </row>
    <row r="14" spans="1:12" x14ac:dyDescent="0.2">
      <c r="A14" s="7">
        <v>5</v>
      </c>
      <c r="B14" s="7">
        <v>5</v>
      </c>
      <c r="C14" s="15">
        <v>53033.8698</v>
      </c>
      <c r="D14" s="16">
        <f t="shared" si="0"/>
        <v>2209.7445750000002</v>
      </c>
      <c r="E14" s="23">
        <v>58066.118136000012</v>
      </c>
      <c r="F14" s="27">
        <f t="shared" si="1"/>
        <v>2419.4215890000005</v>
      </c>
      <c r="G14" s="30">
        <v>62789.554944000003</v>
      </c>
      <c r="H14" s="31">
        <f t="shared" si="2"/>
        <v>2616.231456</v>
      </c>
      <c r="I14" s="39">
        <v>63505.870344000003</v>
      </c>
      <c r="J14" s="43">
        <f t="shared" si="3"/>
        <v>2646.0779310000003</v>
      </c>
      <c r="K14" s="46">
        <v>65472.288767999999</v>
      </c>
      <c r="L14" s="47">
        <f t="shared" si="4"/>
        <v>2728.0120320000001</v>
      </c>
    </row>
    <row r="15" spans="1:12" x14ac:dyDescent="0.2">
      <c r="A15" s="7">
        <v>6</v>
      </c>
      <c r="B15" s="7">
        <v>6</v>
      </c>
      <c r="C15" s="15">
        <v>54256.381416000004</v>
      </c>
      <c r="D15" s="16">
        <f t="shared" si="0"/>
        <v>2260.6825590000003</v>
      </c>
      <c r="E15" s="23">
        <v>59363.97552</v>
      </c>
      <c r="F15" s="27">
        <f t="shared" si="1"/>
        <v>2473.4989799999998</v>
      </c>
      <c r="G15" s="30">
        <v>64292.225471999998</v>
      </c>
      <c r="H15" s="31">
        <f t="shared" si="2"/>
        <v>2678.8427280000001</v>
      </c>
      <c r="I15" s="39">
        <v>65017.030536000006</v>
      </c>
      <c r="J15" s="43">
        <f t="shared" si="3"/>
        <v>2709.0429390000004</v>
      </c>
      <c r="K15" s="46">
        <v>66980.265335999997</v>
      </c>
      <c r="L15" s="47">
        <f t="shared" si="4"/>
        <v>2790.8443889999999</v>
      </c>
    </row>
    <row r="16" spans="1:12" x14ac:dyDescent="0.2">
      <c r="A16" s="7">
        <v>7</v>
      </c>
      <c r="B16" s="7">
        <v>7</v>
      </c>
      <c r="C16" s="15">
        <v>54882.494136000001</v>
      </c>
      <c r="D16" s="16">
        <f t="shared" si="0"/>
        <v>2286.7705890000002</v>
      </c>
      <c r="E16" s="23">
        <v>60028.291728000004</v>
      </c>
      <c r="F16" s="27">
        <f t="shared" si="1"/>
        <v>2501.1788220000003</v>
      </c>
      <c r="G16" s="30">
        <v>65298.250656000004</v>
      </c>
      <c r="H16" s="31">
        <f t="shared" si="2"/>
        <v>2720.760444</v>
      </c>
      <c r="I16" s="39">
        <v>66057.014376000006</v>
      </c>
      <c r="J16" s="43">
        <f t="shared" si="3"/>
        <v>2752.3755990000004</v>
      </c>
      <c r="K16" s="46">
        <v>67941.719784000001</v>
      </c>
      <c r="L16" s="47">
        <f t="shared" si="4"/>
        <v>2830.9049909999999</v>
      </c>
    </row>
    <row r="17" spans="1:12" x14ac:dyDescent="0.2">
      <c r="A17" s="7">
        <v>8</v>
      </c>
      <c r="B17" s="7">
        <v>8</v>
      </c>
      <c r="C17" s="15">
        <v>55901.253816000004</v>
      </c>
      <c r="D17" s="16">
        <f t="shared" si="0"/>
        <v>2329.2189090000002</v>
      </c>
      <c r="E17" s="23">
        <v>61139.376504000007</v>
      </c>
      <c r="F17" s="27">
        <f t="shared" si="1"/>
        <v>2547.4740210000004</v>
      </c>
      <c r="G17" s="30">
        <v>66500.599320000008</v>
      </c>
      <c r="H17" s="31">
        <f t="shared" si="2"/>
        <v>2770.8583050000002</v>
      </c>
      <c r="I17" s="39">
        <v>67280.587200000009</v>
      </c>
      <c r="J17" s="43">
        <f t="shared" si="3"/>
        <v>2803.3578000000002</v>
      </c>
      <c r="K17" s="46">
        <v>69140.884823999993</v>
      </c>
      <c r="L17" s="47">
        <f t="shared" si="4"/>
        <v>2880.8702009999997</v>
      </c>
    </row>
    <row r="18" spans="1:12" x14ac:dyDescent="0.2">
      <c r="A18" s="7">
        <v>9</v>
      </c>
      <c r="B18" s="7">
        <v>9</v>
      </c>
      <c r="C18" s="15">
        <v>56385.164664000011</v>
      </c>
      <c r="D18" s="16">
        <f t="shared" si="0"/>
        <v>2349.3818610000003</v>
      </c>
      <c r="E18" s="23">
        <v>61667.858088000008</v>
      </c>
      <c r="F18" s="27">
        <f t="shared" si="1"/>
        <v>2569.4940870000005</v>
      </c>
      <c r="G18" s="30">
        <v>67256.179415999999</v>
      </c>
      <c r="H18" s="31">
        <f t="shared" si="2"/>
        <v>2802.3408089999998</v>
      </c>
      <c r="I18" s="39">
        <v>68023.432799999995</v>
      </c>
      <c r="J18" s="43">
        <f t="shared" si="3"/>
        <v>2834.3096999999998</v>
      </c>
      <c r="K18" s="46">
        <v>70350.661944000007</v>
      </c>
      <c r="L18" s="47">
        <f t="shared" si="4"/>
        <v>2931.2775810000003</v>
      </c>
    </row>
    <row r="19" spans="1:12" x14ac:dyDescent="0.2">
      <c r="A19" s="7" t="s">
        <v>11</v>
      </c>
      <c r="B19" s="7">
        <v>10</v>
      </c>
      <c r="C19" s="15">
        <v>57450.617495999999</v>
      </c>
      <c r="D19" s="16">
        <f t="shared" si="0"/>
        <v>2393.775729</v>
      </c>
      <c r="E19" s="23">
        <v>62826.697224000003</v>
      </c>
      <c r="F19" s="27">
        <f t="shared" si="1"/>
        <v>2617.779051</v>
      </c>
      <c r="G19" s="30">
        <v>68549.791968000005</v>
      </c>
      <c r="H19" s="31">
        <f t="shared" si="2"/>
        <v>2856.2413320000001</v>
      </c>
      <c r="I19" s="39">
        <v>69288.392735999994</v>
      </c>
      <c r="J19" s="43">
        <f t="shared" si="3"/>
        <v>2887.0163639999996</v>
      </c>
      <c r="K19" s="46">
        <v>71209.179216000004</v>
      </c>
      <c r="L19" s="47">
        <f t="shared" si="4"/>
        <v>2967.0491340000003</v>
      </c>
    </row>
    <row r="20" spans="1:12" x14ac:dyDescent="0.2">
      <c r="A20" s="9"/>
      <c r="B20" s="7">
        <v>11</v>
      </c>
      <c r="C20" s="15">
        <v>58925.696616000001</v>
      </c>
      <c r="D20" s="16">
        <f t="shared" si="0"/>
        <v>2455.2373590000002</v>
      </c>
      <c r="E20" s="23">
        <v>64393.040232000007</v>
      </c>
      <c r="F20" s="27">
        <f t="shared" si="1"/>
        <v>2683.0433430000003</v>
      </c>
      <c r="G20" s="30">
        <v>70482.251735999991</v>
      </c>
      <c r="H20" s="31">
        <f t="shared" si="2"/>
        <v>2936.7604889999998</v>
      </c>
      <c r="I20" s="39">
        <v>71184.771432000009</v>
      </c>
      <c r="J20" s="43">
        <f t="shared" si="3"/>
        <v>2966.0321430000004</v>
      </c>
      <c r="K20" s="46">
        <v>73154.373480000009</v>
      </c>
      <c r="L20" s="47">
        <f t="shared" si="4"/>
        <v>3048.0988950000005</v>
      </c>
    </row>
    <row r="21" spans="1:12" x14ac:dyDescent="0.2">
      <c r="A21" s="9"/>
      <c r="B21" s="7">
        <v>12</v>
      </c>
      <c r="C21" s="15">
        <v>60267.063528000006</v>
      </c>
      <c r="D21" s="16">
        <f t="shared" si="0"/>
        <v>2511.1276470000003</v>
      </c>
      <c r="E21" s="23">
        <v>65730.162312</v>
      </c>
      <c r="F21" s="27">
        <f t="shared" si="1"/>
        <v>2738.7567629999999</v>
      </c>
      <c r="G21" s="30">
        <v>71936.106696000003</v>
      </c>
      <c r="H21" s="31">
        <f t="shared" si="2"/>
        <v>2997.337779</v>
      </c>
      <c r="I21" s="39">
        <v>72712.910952000006</v>
      </c>
      <c r="J21" s="43">
        <f t="shared" si="3"/>
        <v>3029.7046230000001</v>
      </c>
      <c r="K21" s="46">
        <v>74582.759448000012</v>
      </c>
      <c r="L21" s="47">
        <f t="shared" si="4"/>
        <v>3107.6149770000006</v>
      </c>
    </row>
    <row r="22" spans="1:12" x14ac:dyDescent="0.2">
      <c r="A22" s="9"/>
      <c r="B22" s="7">
        <v>13</v>
      </c>
      <c r="C22" s="15">
        <v>61628.59339200001</v>
      </c>
      <c r="D22" s="16">
        <f t="shared" si="0"/>
        <v>2567.8580580000003</v>
      </c>
      <c r="E22" s="23">
        <v>67049.243856000001</v>
      </c>
      <c r="F22" s="27">
        <f t="shared" si="1"/>
        <v>2793.7184940000002</v>
      </c>
      <c r="G22" s="30">
        <v>73545.959232000008</v>
      </c>
      <c r="H22" s="31">
        <f t="shared" si="2"/>
        <v>3064.4149680000005</v>
      </c>
      <c r="I22" s="39">
        <v>74279.253960000002</v>
      </c>
      <c r="J22" s="43">
        <f t="shared" si="3"/>
        <v>3094.9689149999999</v>
      </c>
      <c r="K22" s="46">
        <v>76249.917216000016</v>
      </c>
      <c r="L22" s="47">
        <f t="shared" si="4"/>
        <v>3177.0798840000007</v>
      </c>
    </row>
    <row r="23" spans="1:12" x14ac:dyDescent="0.2">
      <c r="A23" s="9"/>
      <c r="B23" s="7">
        <v>14</v>
      </c>
      <c r="C23" s="15">
        <v>62899.920576000004</v>
      </c>
      <c r="D23" s="16">
        <f t="shared" si="0"/>
        <v>2620.8300240000003</v>
      </c>
      <c r="E23" s="23">
        <v>68460.650496000017</v>
      </c>
      <c r="F23" s="27">
        <f t="shared" si="1"/>
        <v>2852.5271040000007</v>
      </c>
      <c r="G23" s="30">
        <v>74980.712448000006</v>
      </c>
      <c r="H23" s="31">
        <f t="shared" si="2"/>
        <v>3124.1963520000004</v>
      </c>
      <c r="I23" s="39">
        <v>75758.577912000008</v>
      </c>
      <c r="J23" s="43">
        <f t="shared" si="3"/>
        <v>3156.6074130000002</v>
      </c>
      <c r="K23" s="46">
        <v>77616.753119999994</v>
      </c>
      <c r="L23" s="47">
        <f t="shared" si="4"/>
        <v>3234.0313799999999</v>
      </c>
    </row>
    <row r="24" spans="1:12" x14ac:dyDescent="0.2">
      <c r="A24" s="9"/>
      <c r="B24" s="7">
        <v>15</v>
      </c>
      <c r="C24" s="15">
        <v>64265.695271999997</v>
      </c>
      <c r="D24" s="16">
        <f t="shared" si="0"/>
        <v>2677.7373029999999</v>
      </c>
      <c r="E24" s="23">
        <v>69753.201840000009</v>
      </c>
      <c r="F24" s="27">
        <f t="shared" si="1"/>
        <v>2906.3834100000004</v>
      </c>
      <c r="G24" s="30">
        <v>76544.933040000018</v>
      </c>
      <c r="H24" s="31">
        <f t="shared" si="2"/>
        <v>3189.3722100000009</v>
      </c>
      <c r="I24" s="39">
        <v>77311.125216000015</v>
      </c>
      <c r="J24" s="43">
        <f t="shared" si="3"/>
        <v>3221.2968840000008</v>
      </c>
      <c r="K24" s="46">
        <v>79214.932367999994</v>
      </c>
      <c r="L24" s="47">
        <f t="shared" si="4"/>
        <v>3300.6221819999996</v>
      </c>
    </row>
    <row r="25" spans="1:12" x14ac:dyDescent="0.2">
      <c r="A25" s="9"/>
      <c r="B25" s="7">
        <v>16</v>
      </c>
      <c r="C25" s="15">
        <v>64874.828664000008</v>
      </c>
      <c r="D25" s="16">
        <f t="shared" si="0"/>
        <v>2703.1178610000002</v>
      </c>
      <c r="E25" s="23">
        <v>70363.396440000011</v>
      </c>
      <c r="F25" s="27">
        <f t="shared" si="1"/>
        <v>2931.8081850000003</v>
      </c>
      <c r="G25" s="30">
        <v>77155.127640000006</v>
      </c>
      <c r="H25" s="31">
        <f t="shared" si="2"/>
        <v>3214.7969850000004</v>
      </c>
      <c r="I25" s="39">
        <v>77921.319816000003</v>
      </c>
      <c r="J25" s="43">
        <f t="shared" si="3"/>
        <v>3246.7216590000003</v>
      </c>
      <c r="K25" s="46">
        <v>79826.188176000011</v>
      </c>
      <c r="L25" s="47">
        <f t="shared" si="4"/>
        <v>3326.0911740000006</v>
      </c>
    </row>
    <row r="26" spans="1:12" x14ac:dyDescent="0.2">
      <c r="A26" s="9"/>
      <c r="B26" s="7">
        <v>17</v>
      </c>
      <c r="C26" s="15">
        <v>65486.084472000002</v>
      </c>
      <c r="D26" s="16">
        <f t="shared" si="0"/>
        <v>2728.5868530000002</v>
      </c>
      <c r="E26" s="23">
        <v>70974.652247999999</v>
      </c>
      <c r="F26" s="27">
        <f t="shared" si="1"/>
        <v>2957.2771769999999</v>
      </c>
      <c r="G26" s="30">
        <v>77765.322240000009</v>
      </c>
      <c r="H26" s="31">
        <f t="shared" si="2"/>
        <v>3240.2217600000004</v>
      </c>
      <c r="I26" s="39">
        <v>78531.51441600002</v>
      </c>
      <c r="J26" s="43">
        <f t="shared" si="3"/>
        <v>3272.1464340000007</v>
      </c>
      <c r="K26" s="46">
        <v>80435.321567999999</v>
      </c>
      <c r="L26" s="47">
        <f t="shared" si="4"/>
        <v>3351.471732</v>
      </c>
    </row>
    <row r="27" spans="1:12" x14ac:dyDescent="0.2">
      <c r="A27" s="9"/>
      <c r="B27" s="7">
        <v>18</v>
      </c>
      <c r="C27" s="15">
        <v>66343.540536</v>
      </c>
      <c r="D27" s="16">
        <f t="shared" si="0"/>
        <v>2764.3141890000002</v>
      </c>
      <c r="E27" s="23">
        <v>71923.372199999998</v>
      </c>
      <c r="F27" s="27">
        <f t="shared" si="1"/>
        <v>2996.8071749999999</v>
      </c>
      <c r="G27" s="30">
        <v>78851.999232000016</v>
      </c>
      <c r="H27" s="31">
        <f t="shared" si="2"/>
        <v>3285.4999680000005</v>
      </c>
      <c r="I27" s="39">
        <v>79634.109528000015</v>
      </c>
      <c r="J27" s="43">
        <f t="shared" si="3"/>
        <v>3318.0878970000008</v>
      </c>
      <c r="K27" s="46">
        <v>81575.058959999995</v>
      </c>
      <c r="L27" s="47">
        <f t="shared" si="4"/>
        <v>3398.9607899999996</v>
      </c>
    </row>
  </sheetData>
  <mergeCells count="7">
    <mergeCell ref="I7:J7"/>
    <mergeCell ref="K7:L7"/>
    <mergeCell ref="A7:A8"/>
    <mergeCell ref="B7:B8"/>
    <mergeCell ref="C7:D7"/>
    <mergeCell ref="E7:F7"/>
    <mergeCell ref="G7:H7"/>
  </mergeCells>
  <phoneticPr fontId="5" type="noConversion"/>
  <pageMargins left="0.75" right="0.75" top="1" bottom="1" header="0.5" footer="0.5"/>
  <pageSetup scale="87" orientation="landscape" horizontalDpi="4294967292" verticalDpi="4294967292"/>
  <colBreaks count="1" manualBreakCount="1">
    <brk id="12" max="1048575" man="1"/>
  </colBreaks>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TSS</vt:lpstr>
      <vt:lpstr>GC</vt:lpstr>
      <vt:lpstr>STOT</vt:lpstr>
    </vt:vector>
  </TitlesOfParts>
  <Company>Arlington Community Schools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Miracle Meeks</dc:creator>
  <cp:lastModifiedBy>Debbie Cannady</cp:lastModifiedBy>
  <cp:lastPrinted>2019-05-20T17:50:46Z</cp:lastPrinted>
  <dcterms:created xsi:type="dcterms:W3CDTF">2014-04-29T14:33:53Z</dcterms:created>
  <dcterms:modified xsi:type="dcterms:W3CDTF">2019-05-20T20:20:24Z</dcterms:modified>
</cp:coreProperties>
</file>