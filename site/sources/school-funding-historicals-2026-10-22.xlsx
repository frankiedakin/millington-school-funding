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.collier\City of Millington\Education\"/>
    </mc:Choice>
  </mc:AlternateContent>
  <xr:revisionPtr revIDLastSave="0" documentId="13_ncr:1_{6A386FD2-3000-417C-914D-9D32F8BEBF6C}" xr6:coauthVersionLast="47" xr6:coauthVersionMax="47" xr10:uidLastSave="{00000000-0000-0000-0000-000000000000}"/>
  <bookViews>
    <workbookView xWindow="24" yWindow="24" windowWidth="23016" windowHeight="13656" xr2:uid="{77E386E5-D309-4220-9ABA-D30230370517}"/>
  </bookViews>
  <sheets>
    <sheet name="Final" sheetId="1" r:id="rId1"/>
    <sheet name="FY26 Misc" sheetId="4" r:id="rId2"/>
    <sheet name="FY25Misc" sheetId="5" r:id="rId3"/>
    <sheet name="FY24Misc" sheetId="6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B14" i="1"/>
  <c r="A10" i="6" l="1"/>
  <c r="F5" i="1" s="1"/>
  <c r="A13" i="5"/>
  <c r="F4" i="1" s="1"/>
  <c r="B4" i="1" l="1"/>
  <c r="B5" i="1"/>
  <c r="B6" i="1"/>
  <c r="B7" i="1"/>
  <c r="B8" i="1"/>
  <c r="B9" i="1"/>
  <c r="B10" i="1"/>
  <c r="B11" i="1"/>
  <c r="B12" i="1"/>
  <c r="B13" i="1"/>
  <c r="A17" i="4"/>
  <c r="F3" i="1" s="1"/>
  <c r="C15" i="1"/>
  <c r="C19" i="1" s="1"/>
  <c r="I3" i="1"/>
  <c r="G15" i="1"/>
  <c r="D15" i="1"/>
  <c r="I14" i="1"/>
  <c r="J14" i="1" s="1"/>
  <c r="I13" i="1"/>
  <c r="I12" i="1"/>
  <c r="I11" i="1"/>
  <c r="I10" i="1"/>
  <c r="I9" i="1"/>
  <c r="I8" i="1"/>
  <c r="I7" i="1"/>
  <c r="I6" i="1"/>
  <c r="I5" i="1"/>
  <c r="I4" i="1"/>
  <c r="J9" i="1" l="1"/>
  <c r="I15" i="1"/>
  <c r="B3" i="1"/>
  <c r="B15" i="1" s="1"/>
  <c r="C18" i="1" s="1"/>
  <c r="F15" i="1"/>
  <c r="J13" i="1"/>
  <c r="J11" i="1"/>
  <c r="J8" i="1"/>
  <c r="J12" i="1"/>
  <c r="J4" i="1"/>
  <c r="J10" i="1"/>
  <c r="J6" i="1"/>
  <c r="J7" i="1"/>
  <c r="J5" i="1"/>
  <c r="J15" i="1" l="1"/>
</calcChain>
</file>

<file path=xl/sharedStrings.xml><?xml version="1.0" encoding="utf-8"?>
<sst xmlns="http://schemas.openxmlformats.org/spreadsheetml/2006/main" count="57" uniqueCount="40">
  <si>
    <t>Fiscal Year</t>
  </si>
  <si>
    <t>Municipal Schools Settlement (OPEB)</t>
  </si>
  <si>
    <t>Description</t>
  </si>
  <si>
    <t>Difference Between City Required Contribution and Actual Contribution</t>
  </si>
  <si>
    <t>Total City Contribution to Municipal Schools</t>
  </si>
  <si>
    <t>TOTAL FY15-26</t>
  </si>
  <si>
    <t>LAND/ CAPITAL DONATED?</t>
  </si>
  <si>
    <t>?</t>
  </si>
  <si>
    <t xml:space="preserve"> .15 Contribution</t>
  </si>
  <si>
    <t>Cost</t>
  </si>
  <si>
    <t>Track Championship Rings Contribution</t>
  </si>
  <si>
    <t>Economic Development Grant- Girls Soccer</t>
  </si>
  <si>
    <t>Engineering Services- Oak Park Tennis courts</t>
  </si>
  <si>
    <t>1FTE MELA SRO Officer- Salary + Benefits</t>
  </si>
  <si>
    <t>Maintenance of Effort</t>
  </si>
  <si>
    <t>Captial Funds Description</t>
  </si>
  <si>
    <t>Deferred Maintenance- Parking Lots</t>
  </si>
  <si>
    <t>School Crossing Guards</t>
  </si>
  <si>
    <t>School Safety Traffic Studies- 2 phases</t>
  </si>
  <si>
    <t>Miscelleaneous (see tab)</t>
  </si>
  <si>
    <t>Vehicle Donation (in-kind)</t>
  </si>
  <si>
    <t xml:space="preserve">Crossing Guards </t>
  </si>
  <si>
    <t>Crossing Guards</t>
  </si>
  <si>
    <t>Mixed Drink Tax</t>
  </si>
  <si>
    <t>City of Millington Funding to MMSD FY15-26</t>
  </si>
  <si>
    <t>FY26 Miscelleaneous</t>
  </si>
  <si>
    <t>TOTAL</t>
  </si>
  <si>
    <t xml:space="preserve">FY25 Miscelleaneous </t>
  </si>
  <si>
    <t>FY24 Miscelleaneous</t>
  </si>
  <si>
    <t>High School Annex</t>
  </si>
  <si>
    <t>Wilkinsville/Schools Drainge improvements</t>
  </si>
  <si>
    <t>*2.1M provided FY15 startup</t>
  </si>
  <si>
    <t xml:space="preserve">General CIP Support </t>
  </si>
  <si>
    <t>Capital Funds*</t>
  </si>
  <si>
    <t>*The City takes on the debt financing, with repayment responsibility assigned to either the schools or the City depending on the project.</t>
  </si>
  <si>
    <t>Sandusky building- pricing opportunity cost created by prioritizing HS internship needs</t>
  </si>
  <si>
    <t>MMSD Provided IT services to City of Millington</t>
  </si>
  <si>
    <t>Total FY15-26 Direct + Indirect</t>
  </si>
  <si>
    <t>MMSD to City</t>
  </si>
  <si>
    <t>Total FY15-26 Direct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</si>
</sst>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b/>
      <sz val="20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42" fontId="4" fillId="0" borderId="1" xfId="1" applyNumberFormat="1" applyFont="1" applyBorder="1" applyAlignment="1">
      <alignment horizontal="right"/>
    </xf>
    <xf numFmtId="3" fontId="4" fillId="0" borderId="1" xfId="1" applyNumberFormat="1" applyFont="1" applyBorder="1" applyAlignment="1">
      <alignment horizontal="right"/>
    </xf>
    <xf numFmtId="9" fontId="4" fillId="0" borderId="1" xfId="2" applyFont="1" applyBorder="1" applyAlignment="1">
      <alignment horizontal="right"/>
    </xf>
    <xf numFmtId="39" fontId="4" fillId="0" borderId="1" xfId="1" applyNumberFormat="1" applyFont="1" applyBorder="1" applyAlignment="1">
      <alignment horizontal="right"/>
    </xf>
    <xf numFmtId="42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9" fontId="4" fillId="0" borderId="0" xfId="2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3" fontId="0" fillId="0" borderId="0" xfId="0" applyNumberFormat="1"/>
    <xf numFmtId="42" fontId="4" fillId="0" borderId="1" xfId="1" applyNumberFormat="1" applyFont="1" applyFill="1" applyBorder="1" applyAlignment="1">
      <alignment horizontal="right"/>
    </xf>
    <xf numFmtId="3" fontId="4" fillId="0" borderId="1" xfId="1" applyNumberFormat="1" applyFont="1" applyFill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 wrapText="1"/>
    </xf>
    <xf numFmtId="0" fontId="4" fillId="0" borderId="3" xfId="0" applyFont="1" applyBorder="1" applyAlignment="1">
      <alignment horizontal="right"/>
    </xf>
    <xf numFmtId="42" fontId="4" fillId="0" borderId="3" xfId="1" applyNumberFormat="1" applyFont="1" applyFill="1" applyBorder="1" applyAlignment="1">
      <alignment horizontal="right"/>
    </xf>
    <xf numFmtId="42" fontId="4" fillId="0" borderId="3" xfId="1" applyNumberFormat="1" applyFont="1" applyBorder="1" applyAlignment="1">
      <alignment horizontal="right"/>
    </xf>
    <xf numFmtId="42" fontId="4" fillId="0" borderId="3" xfId="0" applyNumberFormat="1" applyFont="1" applyBorder="1" applyAlignment="1">
      <alignment horizontal="right"/>
    </xf>
    <xf numFmtId="3" fontId="4" fillId="0" borderId="3" xfId="1" applyNumberFormat="1" applyFont="1" applyBorder="1" applyAlignment="1">
      <alignment horizontal="right"/>
    </xf>
    <xf numFmtId="9" fontId="4" fillId="0" borderId="3" xfId="2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42" fontId="3" fillId="0" borderId="4" xfId="0" applyNumberFormat="1" applyFont="1" applyBorder="1" applyAlignment="1">
      <alignment horizontal="right"/>
    </xf>
    <xf numFmtId="44" fontId="3" fillId="2" borderId="4" xfId="1" applyFont="1" applyFill="1" applyBorder="1" applyAlignment="1">
      <alignment horizontal="right"/>
    </xf>
    <xf numFmtId="9" fontId="3" fillId="2" borderId="4" xfId="2" applyFont="1" applyFill="1" applyBorder="1" applyAlignment="1">
      <alignment horizontal="right"/>
    </xf>
    <xf numFmtId="3" fontId="2" fillId="0" borderId="0" xfId="0" applyNumberFormat="1" applyFont="1"/>
    <xf numFmtId="3" fontId="4" fillId="0" borderId="3" xfId="0" applyNumberFormat="1" applyFont="1" applyBorder="1" applyAlignment="1">
      <alignment horizontal="left"/>
    </xf>
    <xf numFmtId="0" fontId="4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2" fontId="4" fillId="3" borderId="11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42" fontId="4" fillId="3" borderId="14" xfId="0" applyNumberFormat="1" applyFont="1" applyFill="1" applyBorder="1" applyAlignment="1">
      <alignment horizontal="right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dakin\AppData\Local\Microsoft\Windows\INetCache\Content.Outlook\1OR22ZN4\School%20Funding%20Gen%20Info%20Nov%202024.xlsx" TargetMode="External"/><Relationship Id="rId1" Type="http://schemas.openxmlformats.org/officeDocument/2006/relationships/externalLinkPath" Target="/Users/fdakin/AppData/Local/Microsoft/Windows/INetCache/Content.Outlook/1OR22ZN4/School%20Funding%20Gen%20Info%20No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ankie"/>
      <sheetName val="Revised School Funding"/>
      <sheetName val="Revised School Funding (2)"/>
      <sheetName val=".15 of tax"/>
      <sheetName val=".15 of tax (2)"/>
    </sheetNames>
    <sheetDataSet>
      <sheetData sheetId="0"/>
      <sheetData sheetId="1"/>
      <sheetData sheetId="2"/>
      <sheetData sheetId="3">
        <row r="6">
          <cell r="F6">
            <v>386976.06749999995</v>
          </cell>
        </row>
        <row r="8">
          <cell r="F8">
            <v>366174.86249999999</v>
          </cell>
        </row>
        <row r="10">
          <cell r="F10">
            <v>352033.30499999999</v>
          </cell>
        </row>
        <row r="12">
          <cell r="F12">
            <v>356816.66250000003</v>
          </cell>
        </row>
        <row r="14">
          <cell r="F14">
            <v>287084.61750000005</v>
          </cell>
        </row>
        <row r="16">
          <cell r="F16">
            <v>292229.42249999999</v>
          </cell>
        </row>
        <row r="18">
          <cell r="F18">
            <v>292691.54249999998</v>
          </cell>
        </row>
        <row r="20">
          <cell r="F20">
            <v>282591.69749999995</v>
          </cell>
        </row>
        <row r="22">
          <cell r="F22">
            <v>246666.65249999997</v>
          </cell>
        </row>
        <row r="24">
          <cell r="F24">
            <v>254040.91500000001</v>
          </cell>
        </row>
        <row r="26">
          <cell r="F26">
            <v>246194.59499999997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0EE6-F06D-4DDB-80A9-661E058BDBFB}">
  <sheetPr>
    <pageSetUpPr fitToPage="1"/>
  </sheetPr>
  <dimension ref="A1:K22"/>
  <sheetViews>
    <sheetView tabSelected="1" workbookViewId="0">
      <selection activeCell="E21" sqref="E21"/>
    </sheetView>
  </sheetViews>
  <sheetFormatPr defaultRowHeight="14.4" x14ac:dyDescent="0.3"/>
  <cols>
    <col min="1" max="1" width="19.109375" bestFit="1" customWidth="1"/>
    <col min="2" max="2" width="30.109375" customWidth="1"/>
    <col min="3" max="3" width="17.21875" customWidth="1"/>
    <col min="4" max="4" width="21" bestFit="1" customWidth="1"/>
    <col min="5" max="6" width="21" customWidth="1"/>
    <col min="7" max="7" width="20.21875" customWidth="1"/>
    <col min="8" max="8" width="46.33203125" bestFit="1" customWidth="1"/>
    <col min="9" max="9" width="19.21875" hidden="1" customWidth="1"/>
    <col min="10" max="10" width="4.44140625" hidden="1" customWidth="1"/>
    <col min="11" max="11" width="6" hidden="1" customWidth="1"/>
  </cols>
  <sheetData>
    <row r="1" spans="1:11" ht="31.2" customHeight="1" x14ac:dyDescent="0.5">
      <c r="A1" s="42" t="s">
        <v>24</v>
      </c>
      <c r="B1" s="43"/>
      <c r="C1" s="43"/>
      <c r="D1" s="43"/>
      <c r="E1" s="43"/>
      <c r="F1" s="43"/>
      <c r="G1" s="43"/>
      <c r="H1" s="44"/>
    </row>
    <row r="2" spans="1:11" ht="87.6" customHeight="1" x14ac:dyDescent="0.35">
      <c r="A2" s="15" t="s">
        <v>0</v>
      </c>
      <c r="B2" s="14" t="s">
        <v>4</v>
      </c>
      <c r="C2" s="14" t="s">
        <v>14</v>
      </c>
      <c r="D2" s="14" t="s">
        <v>1</v>
      </c>
      <c r="E2" s="14" t="s">
        <v>23</v>
      </c>
      <c r="F2" s="14" t="s">
        <v>19</v>
      </c>
      <c r="G2" s="14" t="s">
        <v>33</v>
      </c>
      <c r="H2" s="14" t="s">
        <v>15</v>
      </c>
      <c r="I2" s="2" t="s">
        <v>8</v>
      </c>
      <c r="J2" s="2" t="s">
        <v>3</v>
      </c>
      <c r="K2" s="13" t="s">
        <v>6</v>
      </c>
    </row>
    <row r="3" spans="1:11" ht="18" x14ac:dyDescent="0.35">
      <c r="A3" s="3">
        <v>26</v>
      </c>
      <c r="B3" s="4">
        <f>SUM(C3:G3)</f>
        <v>1012056.05</v>
      </c>
      <c r="C3" s="4">
        <v>500000</v>
      </c>
      <c r="D3" s="2"/>
      <c r="E3" s="4">
        <v>83056.05</v>
      </c>
      <c r="F3" s="4">
        <f>'FY26 Misc'!A17</f>
        <v>179000</v>
      </c>
      <c r="G3" s="4">
        <v>250000</v>
      </c>
      <c r="H3" s="16" t="s">
        <v>16</v>
      </c>
      <c r="I3" s="2">
        <f>32250*15</f>
        <v>483750</v>
      </c>
      <c r="J3" s="2"/>
    </row>
    <row r="4" spans="1:11" ht="18" x14ac:dyDescent="0.35">
      <c r="A4" s="3">
        <v>25</v>
      </c>
      <c r="B4" s="4">
        <f t="shared" ref="B4:B13" si="0">SUM(C4:G4)</f>
        <v>761581.06</v>
      </c>
      <c r="C4" s="4">
        <v>500000</v>
      </c>
      <c r="D4" s="5"/>
      <c r="E4" s="4">
        <v>66321.06</v>
      </c>
      <c r="F4" s="5">
        <f>FY25Misc!A13</f>
        <v>195260</v>
      </c>
      <c r="G4" s="4"/>
      <c r="H4" s="5"/>
      <c r="I4" s="5">
        <f>'[1].15 of tax'!F6</f>
        <v>386976.06749999995</v>
      </c>
      <c r="J4" s="6">
        <f t="shared" ref="J4:J14" si="1">B4/I4</f>
        <v>1.9680314209611947</v>
      </c>
      <c r="K4" t="s">
        <v>7</v>
      </c>
    </row>
    <row r="5" spans="1:11" ht="18" x14ac:dyDescent="0.35">
      <c r="A5" s="3">
        <v>24</v>
      </c>
      <c r="B5" s="4">
        <f t="shared" si="0"/>
        <v>938175.81</v>
      </c>
      <c r="C5" s="4">
        <v>500000</v>
      </c>
      <c r="D5" s="7"/>
      <c r="E5" s="4">
        <v>64941.81</v>
      </c>
      <c r="F5" s="5">
        <f>FY24Misc!A10</f>
        <v>23234</v>
      </c>
      <c r="G5" s="18">
        <v>350000</v>
      </c>
      <c r="H5" s="19" t="s">
        <v>32</v>
      </c>
      <c r="I5" s="5">
        <f>'[1].15 of tax'!F8</f>
        <v>366174.86249999999</v>
      </c>
      <c r="J5" s="6">
        <f t="shared" si="1"/>
        <v>2.5620978010198612</v>
      </c>
      <c r="K5" t="s">
        <v>7</v>
      </c>
    </row>
    <row r="6" spans="1:11" ht="18" x14ac:dyDescent="0.35">
      <c r="A6" s="3">
        <v>23</v>
      </c>
      <c r="B6" s="4">
        <f t="shared" si="0"/>
        <v>1251644.18</v>
      </c>
      <c r="C6" s="4">
        <v>500000</v>
      </c>
      <c r="D6" s="18">
        <v>690657</v>
      </c>
      <c r="E6" s="4">
        <v>60987.18</v>
      </c>
      <c r="F6" s="5"/>
      <c r="G6" s="4"/>
      <c r="H6" s="5"/>
      <c r="I6" s="5">
        <f>'[1].15 of tax'!F10</f>
        <v>352033.30499999999</v>
      </c>
      <c r="J6" s="6">
        <f t="shared" si="1"/>
        <v>3.5554709234116357</v>
      </c>
      <c r="K6" t="s">
        <v>7</v>
      </c>
    </row>
    <row r="7" spans="1:11" ht="18" x14ac:dyDescent="0.35">
      <c r="A7" s="3">
        <v>22</v>
      </c>
      <c r="B7" s="4">
        <f t="shared" si="0"/>
        <v>788238.89</v>
      </c>
      <c r="C7" s="4">
        <v>500000</v>
      </c>
      <c r="D7" s="8">
        <v>230219</v>
      </c>
      <c r="E7" s="4">
        <v>58019.89</v>
      </c>
      <c r="F7" s="5"/>
      <c r="G7" s="4"/>
      <c r="H7" s="9"/>
      <c r="I7" s="5">
        <f>'[1].15 of tax'!F12</f>
        <v>356816.66250000003</v>
      </c>
      <c r="J7" s="6">
        <f t="shared" si="1"/>
        <v>2.2090865501551513</v>
      </c>
      <c r="K7" t="s">
        <v>7</v>
      </c>
    </row>
    <row r="8" spans="1:11" ht="18" x14ac:dyDescent="0.35">
      <c r="A8" s="3">
        <v>21</v>
      </c>
      <c r="B8" s="4">
        <f t="shared" si="0"/>
        <v>765404.85</v>
      </c>
      <c r="C8" s="4">
        <v>500000</v>
      </c>
      <c r="D8" s="8">
        <v>230219</v>
      </c>
      <c r="E8" s="4">
        <v>35185.85</v>
      </c>
      <c r="F8" s="5"/>
      <c r="G8" s="4"/>
      <c r="H8" s="9"/>
      <c r="I8" s="5">
        <f>'[1].15 of tax'!F14</f>
        <v>287084.61750000005</v>
      </c>
      <c r="J8" s="6">
        <f t="shared" si="1"/>
        <v>2.6661297866298943</v>
      </c>
      <c r="K8" t="s">
        <v>7</v>
      </c>
    </row>
    <row r="9" spans="1:11" ht="18" x14ac:dyDescent="0.35">
      <c r="A9" s="3">
        <v>20</v>
      </c>
      <c r="B9" s="4">
        <f t="shared" si="0"/>
        <v>775012.5</v>
      </c>
      <c r="C9" s="4">
        <v>500000</v>
      </c>
      <c r="D9" s="8">
        <v>230219</v>
      </c>
      <c r="E9" s="4">
        <v>44793.5</v>
      </c>
      <c r="F9" s="5"/>
      <c r="G9" s="4"/>
      <c r="H9" s="9"/>
      <c r="I9" s="5">
        <f>'[1].15 of tax'!F16</f>
        <v>292229.42249999999</v>
      </c>
      <c r="J9" s="6">
        <f t="shared" si="1"/>
        <v>2.6520686841517476</v>
      </c>
      <c r="K9" t="s">
        <v>7</v>
      </c>
    </row>
    <row r="10" spans="1:11" ht="18" x14ac:dyDescent="0.35">
      <c r="A10" s="3">
        <v>19</v>
      </c>
      <c r="B10" s="4">
        <f t="shared" si="0"/>
        <v>772885.39</v>
      </c>
      <c r="C10" s="4">
        <v>500000</v>
      </c>
      <c r="D10" s="8">
        <v>230219</v>
      </c>
      <c r="E10" s="4">
        <v>42666.39</v>
      </c>
      <c r="F10" s="5"/>
      <c r="G10" s="4"/>
      <c r="H10" s="20"/>
      <c r="I10" s="5">
        <f>'[1].15 of tax'!F18</f>
        <v>292691.54249999998</v>
      </c>
      <c r="J10" s="6">
        <f t="shared" si="1"/>
        <v>2.6406140177419033</v>
      </c>
      <c r="K10" t="s">
        <v>7</v>
      </c>
    </row>
    <row r="11" spans="1:11" ht="18" x14ac:dyDescent="0.35">
      <c r="A11" s="3">
        <v>18</v>
      </c>
      <c r="B11" s="4">
        <f t="shared" si="0"/>
        <v>540594.88</v>
      </c>
      <c r="C11" s="4">
        <v>500000</v>
      </c>
      <c r="D11" s="8"/>
      <c r="E11" s="4">
        <v>40594.879999999997</v>
      </c>
      <c r="F11" s="5"/>
      <c r="G11" s="18"/>
      <c r="H11" s="9"/>
      <c r="I11" s="5">
        <f>'[1].15 of tax'!F20</f>
        <v>282591.69749999995</v>
      </c>
      <c r="J11" s="6">
        <f t="shared" si="1"/>
        <v>1.9129892519223786</v>
      </c>
      <c r="K11" t="s">
        <v>7</v>
      </c>
    </row>
    <row r="12" spans="1:11" ht="18" x14ac:dyDescent="0.35">
      <c r="A12" s="3">
        <v>17</v>
      </c>
      <c r="B12" s="4">
        <f t="shared" si="0"/>
        <v>1470366.98</v>
      </c>
      <c r="C12" s="4">
        <v>500000</v>
      </c>
      <c r="D12" s="8">
        <v>230219</v>
      </c>
      <c r="E12" s="4">
        <v>44776.45</v>
      </c>
      <c r="F12" s="5"/>
      <c r="G12" s="18">
        <v>695371.53</v>
      </c>
      <c r="H12" s="21" t="s">
        <v>30</v>
      </c>
      <c r="I12" s="5">
        <f>'[1].15 of tax'!F22</f>
        <v>246666.65249999997</v>
      </c>
      <c r="J12" s="6">
        <f t="shared" si="1"/>
        <v>5.960947558567935</v>
      </c>
      <c r="K12" t="s">
        <v>7</v>
      </c>
    </row>
    <row r="13" spans="1:11" ht="18" x14ac:dyDescent="0.35">
      <c r="A13" s="3">
        <v>16</v>
      </c>
      <c r="B13" s="4">
        <f t="shared" si="0"/>
        <v>1768161.02</v>
      </c>
      <c r="C13" s="4">
        <v>500000</v>
      </c>
      <c r="D13" s="8">
        <v>230219</v>
      </c>
      <c r="E13" s="4">
        <v>37942.019999999997</v>
      </c>
      <c r="F13" s="5"/>
      <c r="G13" s="18">
        <v>1000000</v>
      </c>
      <c r="H13" s="21" t="s">
        <v>29</v>
      </c>
      <c r="I13" s="5">
        <f>'[1].15 of tax'!F24</f>
        <v>254040.91500000001</v>
      </c>
      <c r="J13" s="6">
        <f t="shared" si="1"/>
        <v>6.9601426998481717</v>
      </c>
      <c r="K13" t="s">
        <v>7</v>
      </c>
    </row>
    <row r="14" spans="1:11" ht="18" x14ac:dyDescent="0.35">
      <c r="A14" s="22">
        <v>15</v>
      </c>
      <c r="B14" s="23">
        <f>2100000+E14</f>
        <v>2124562.2200000002</v>
      </c>
      <c r="C14" s="24">
        <v>0</v>
      </c>
      <c r="D14" s="25"/>
      <c r="E14" s="24">
        <v>24562.22</v>
      </c>
      <c r="F14" s="25"/>
      <c r="G14" s="24"/>
      <c r="H14" s="33" t="s">
        <v>31</v>
      </c>
      <c r="I14" s="26">
        <f>'[1].15 of tax'!F26</f>
        <v>246194.59499999997</v>
      </c>
      <c r="J14" s="27">
        <f t="shared" si="1"/>
        <v>8.6296054549857217</v>
      </c>
      <c r="K14" t="s">
        <v>7</v>
      </c>
    </row>
    <row r="15" spans="1:11" ht="18" x14ac:dyDescent="0.35">
      <c r="A15" s="28" t="s">
        <v>5</v>
      </c>
      <c r="B15" s="29">
        <f>SUM(B3:B14)</f>
        <v>12968683.829999998</v>
      </c>
      <c r="C15" s="29">
        <f>SUM(C3:C14)</f>
        <v>5500000</v>
      </c>
      <c r="D15" s="29">
        <f>SUM(D6:D14)</f>
        <v>2071971</v>
      </c>
      <c r="E15" s="29">
        <f>SUM(E3:E14)</f>
        <v>603847.29999999993</v>
      </c>
      <c r="F15" s="29">
        <f>SUM(F3:F14)</f>
        <v>397494</v>
      </c>
      <c r="G15" s="29">
        <f>SUM(G4:G13)</f>
        <v>2045371.53</v>
      </c>
      <c r="H15" s="28"/>
      <c r="I15" s="30">
        <f>SUM(I3:I14)</f>
        <v>3847250.34</v>
      </c>
      <c r="J15" s="31">
        <f>B15/I15</f>
        <v>3.3708967922269384</v>
      </c>
    </row>
    <row r="16" spans="1:11" ht="20.399999999999999" customHeight="1" x14ac:dyDescent="0.35">
      <c r="A16" s="34" t="s">
        <v>34</v>
      </c>
      <c r="B16" s="34"/>
      <c r="C16" s="34"/>
      <c r="D16" s="34"/>
      <c r="E16" s="34"/>
      <c r="F16" s="34"/>
      <c r="G16" s="34"/>
      <c r="H16" s="34"/>
      <c r="I16" s="11"/>
      <c r="J16" s="10"/>
    </row>
    <row r="17" spans="1:10" ht="18.600000000000001" thickBot="1" x14ac:dyDescent="0.4">
      <c r="C17" s="10"/>
      <c r="D17" s="10"/>
      <c r="E17" s="10"/>
      <c r="F17" s="10"/>
      <c r="G17" s="10"/>
      <c r="H17" s="10"/>
      <c r="I17" s="10"/>
      <c r="J17" s="10"/>
    </row>
    <row r="18" spans="1:10" ht="18" x14ac:dyDescent="0.35">
      <c r="A18" s="36" t="s">
        <v>37</v>
      </c>
      <c r="B18" s="37"/>
      <c r="C18" s="38">
        <f>B15</f>
        <v>12968683.829999998</v>
      </c>
      <c r="D18" s="10"/>
      <c r="E18" s="10"/>
      <c r="F18" s="10"/>
      <c r="G18" s="10"/>
      <c r="H18" s="10"/>
      <c r="I18" s="10"/>
      <c r="J18" s="10"/>
    </row>
    <row r="19" spans="1:10" ht="18.600000000000001" thickBot="1" x14ac:dyDescent="0.4">
      <c r="A19" s="39" t="s">
        <v>39</v>
      </c>
      <c r="B19" s="40"/>
      <c r="C19" s="41">
        <f>C15+D15+E15+G3+G5+G13+B14</f>
        <v>11900380.520000001</v>
      </c>
      <c r="D19" s="10"/>
      <c r="E19" s="10"/>
      <c r="F19" s="10"/>
      <c r="G19" s="10"/>
      <c r="H19" s="10"/>
      <c r="I19" s="10"/>
      <c r="J19" s="10"/>
    </row>
    <row r="20" spans="1:10" ht="18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8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8" x14ac:dyDescent="0.35">
      <c r="A22" s="10"/>
      <c r="B22" s="10"/>
      <c r="C22" s="10"/>
      <c r="D22" s="10"/>
      <c r="E22" s="10"/>
      <c r="F22" s="10"/>
      <c r="G22" s="10"/>
      <c r="H22" s="10"/>
      <c r="I22" s="12">
        <v>46162</v>
      </c>
      <c r="J22" s="10"/>
    </row>
  </sheetData>
  <mergeCells count="4">
    <mergeCell ref="A1:H1"/>
    <mergeCell ref="A16:H16"/>
    <mergeCell ref="A18:B18"/>
    <mergeCell ref="A19:B19"/>
  </mergeCells>
  <pageMargins left="0.7" right="0.7" top="0.75" bottom="0.75" header="0.3" footer="0.3"/>
  <pageSetup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0BF7-0B0D-4893-BDE3-7AA2385DCCA4}">
  <dimension ref="A1:B17"/>
  <sheetViews>
    <sheetView workbookViewId="0">
      <selection activeCell="F18" sqref="F18"/>
    </sheetView>
  </sheetViews>
  <sheetFormatPr defaultRowHeight="14.4" x14ac:dyDescent="0.3"/>
  <cols>
    <col min="1" max="1" width="16.109375" customWidth="1"/>
    <col min="2" max="2" width="37.5546875" bestFit="1" customWidth="1"/>
  </cols>
  <sheetData>
    <row r="1" spans="1:2" x14ac:dyDescent="0.3">
      <c r="A1" s="35" t="s">
        <v>25</v>
      </c>
      <c r="B1" s="35"/>
    </row>
    <row r="2" spans="1:2" x14ac:dyDescent="0.3">
      <c r="A2" s="1" t="s">
        <v>9</v>
      </c>
      <c r="B2" s="1" t="s">
        <v>2</v>
      </c>
    </row>
    <row r="3" spans="1:2" x14ac:dyDescent="0.3">
      <c r="A3" s="17">
        <v>75000</v>
      </c>
      <c r="B3" t="s">
        <v>13</v>
      </c>
    </row>
    <row r="4" spans="1:2" x14ac:dyDescent="0.3">
      <c r="A4" s="17">
        <v>1000</v>
      </c>
      <c r="B4" t="s">
        <v>20</v>
      </c>
    </row>
    <row r="5" spans="1:2" x14ac:dyDescent="0.3">
      <c r="A5">
        <v>3500</v>
      </c>
      <c r="B5" t="s">
        <v>10</v>
      </c>
    </row>
    <row r="6" spans="1:2" x14ac:dyDescent="0.3">
      <c r="A6">
        <v>1000</v>
      </c>
      <c r="B6" t="s">
        <v>11</v>
      </c>
    </row>
    <row r="7" spans="1:2" x14ac:dyDescent="0.3">
      <c r="A7">
        <v>51000</v>
      </c>
      <c r="B7" t="s">
        <v>12</v>
      </c>
    </row>
    <row r="8" spans="1:2" x14ac:dyDescent="0.3">
      <c r="A8">
        <v>17500</v>
      </c>
      <c r="B8" t="s">
        <v>18</v>
      </c>
    </row>
    <row r="9" spans="1:2" x14ac:dyDescent="0.3">
      <c r="A9">
        <v>30000</v>
      </c>
      <c r="B9" t="s">
        <v>17</v>
      </c>
    </row>
    <row r="17" spans="1:2" x14ac:dyDescent="0.3">
      <c r="A17" s="1">
        <f>SUM(A3:A15)</f>
        <v>179000</v>
      </c>
      <c r="B17" s="1" t="s">
        <v>26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5D6F-F6F4-48E3-B935-5F360EA9A552}">
  <dimension ref="A1:B13"/>
  <sheetViews>
    <sheetView workbookViewId="0">
      <selection activeCell="A6" sqref="A6"/>
    </sheetView>
  </sheetViews>
  <sheetFormatPr defaultRowHeight="14.4" x14ac:dyDescent="0.3"/>
  <cols>
    <col min="2" max="2" width="35.109375" bestFit="1" customWidth="1"/>
  </cols>
  <sheetData>
    <row r="1" spans="1:2" x14ac:dyDescent="0.3">
      <c r="A1" s="35" t="s">
        <v>27</v>
      </c>
      <c r="B1" s="35"/>
    </row>
    <row r="2" spans="1:2" x14ac:dyDescent="0.3">
      <c r="A2" s="1" t="s">
        <v>9</v>
      </c>
      <c r="B2" s="1" t="s">
        <v>2</v>
      </c>
    </row>
    <row r="3" spans="1:2" x14ac:dyDescent="0.3">
      <c r="A3" s="17">
        <v>75000</v>
      </c>
      <c r="B3" t="s">
        <v>13</v>
      </c>
    </row>
    <row r="4" spans="1:2" x14ac:dyDescent="0.3">
      <c r="A4">
        <v>25260</v>
      </c>
      <c r="B4" t="s">
        <v>21</v>
      </c>
    </row>
    <row r="5" spans="1:2" x14ac:dyDescent="0.3">
      <c r="A5">
        <v>95000</v>
      </c>
      <c r="B5" t="s">
        <v>35</v>
      </c>
    </row>
    <row r="13" spans="1:2" x14ac:dyDescent="0.3">
      <c r="A13" s="32">
        <f>SUM(A3:A9)</f>
        <v>195260</v>
      </c>
      <c r="B13" s="1" t="s">
        <v>26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D89D-68DD-44EC-A2BB-536534174A0A}">
  <dimension ref="A1:B14"/>
  <sheetViews>
    <sheetView workbookViewId="0">
      <selection activeCell="E19" sqref="E19"/>
    </sheetView>
  </sheetViews>
  <sheetFormatPr defaultRowHeight="14.4" x14ac:dyDescent="0.3"/>
  <cols>
    <col min="2" max="2" width="42.5546875" customWidth="1"/>
  </cols>
  <sheetData>
    <row r="1" spans="1:2" x14ac:dyDescent="0.3">
      <c r="A1" s="35" t="s">
        <v>28</v>
      </c>
      <c r="B1" s="35"/>
    </row>
    <row r="2" spans="1:2" x14ac:dyDescent="0.3">
      <c r="A2" s="1" t="s">
        <v>9</v>
      </c>
      <c r="B2" s="1" t="s">
        <v>2</v>
      </c>
    </row>
    <row r="3" spans="1:2" x14ac:dyDescent="0.3">
      <c r="A3">
        <v>23234</v>
      </c>
      <c r="B3" t="s">
        <v>22</v>
      </c>
    </row>
    <row r="4" spans="1:2" x14ac:dyDescent="0.3">
      <c r="A4" s="17"/>
    </row>
    <row r="10" spans="1:2" x14ac:dyDescent="0.3">
      <c r="A10" s="32">
        <f>SUM(A3:A7)</f>
        <v>23234</v>
      </c>
      <c r="B10" s="1" t="s">
        <v>26</v>
      </c>
    </row>
    <row r="13" spans="1:2" x14ac:dyDescent="0.3">
      <c r="A13" s="1" t="s">
        <v>38</v>
      </c>
    </row>
    <row r="14" spans="1:2" x14ac:dyDescent="0.3">
      <c r="A14" s="17">
        <v>30000</v>
      </c>
      <c r="B14" t="s">
        <v>36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FY26 Misc</vt:lpstr>
      <vt:lpstr>FY25Misc</vt:lpstr>
      <vt:lpstr>FY24Misc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Millington City Hall</dc:creator>
  <cp:lastModifiedBy>Amy Collier</cp:lastModifiedBy>
  <cp:lastPrinted>2026-09-16T13:27:54Z</cp:lastPrinted>
  <dcterms:created xsi:type="dcterms:W3CDTF">2025-02-07T16:20:54Z</dcterms:created>
  <dcterms:modified xsi:type="dcterms:W3CDTF">2026-10-21T18:26:56Z</dcterms:modified>
</cp:coreProperties>
</file>