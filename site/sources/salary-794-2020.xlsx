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ldinger/Desktop/Old computer info 2014 and before/aldinger/Desktop/"/>
    </mc:Choice>
  </mc:AlternateContent>
  <xr:revisionPtr revIDLastSave="0" documentId="13_ncr:1_{EB7511B8-FBEB-7D4D-9CB2-22D40BA22867}" xr6:coauthVersionLast="43" xr6:coauthVersionMax="43" xr10:uidLastSave="{00000000-0000-0000-0000-000000000000}"/>
  <bookViews>
    <workbookView xWindow="3280" yWindow="740" windowWidth="28800" windowHeight="16420" xr2:uid="{00000000-000D-0000-FFFF-FFFF00000000}"/>
  </bookViews>
  <sheets>
    <sheet name="TSS" sheetId="1" r:id="rId1"/>
    <sheet name="DTSS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2" l="1"/>
  <c r="G11" i="2"/>
  <c r="G12" i="2"/>
  <c r="G13" i="2"/>
  <c r="H13" i="2" s="1"/>
  <c r="G14" i="2"/>
  <c r="H14" i="2" s="1"/>
  <c r="G15" i="2"/>
  <c r="H15" i="2" s="1"/>
  <c r="G16" i="2"/>
  <c r="H16" i="2" s="1"/>
  <c r="G17" i="2"/>
  <c r="G18" i="2"/>
  <c r="G19" i="2"/>
  <c r="G20" i="2"/>
  <c r="G21" i="2"/>
  <c r="H21" i="2" s="1"/>
  <c r="G22" i="2"/>
  <c r="H22" i="2" s="1"/>
  <c r="G23" i="2"/>
  <c r="G24" i="2"/>
  <c r="H24" i="2" s="1"/>
  <c r="G25" i="2"/>
  <c r="G26" i="2"/>
  <c r="G27" i="2"/>
  <c r="G28" i="2"/>
  <c r="G9" i="2"/>
  <c r="H9" i="2" s="1"/>
  <c r="H10" i="2"/>
  <c r="H11" i="2"/>
  <c r="H12" i="2"/>
  <c r="H17" i="2"/>
  <c r="H18" i="2"/>
  <c r="H19" i="2"/>
  <c r="H20" i="2"/>
  <c r="H23" i="2"/>
  <c r="H25" i="2"/>
  <c r="H26" i="2"/>
  <c r="H27" i="2"/>
  <c r="H28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9" i="1"/>
</calcChain>
</file>

<file path=xl/sharedStrings.xml><?xml version="1.0" encoding="utf-8"?>
<sst xmlns="http://schemas.openxmlformats.org/spreadsheetml/2006/main" count="34" uniqueCount="16">
  <si>
    <t>ALL TEACHERS HIRED PRIOR TO AUGUST 2, 2013 FOLLOW THIS SCHEDULE</t>
  </si>
  <si>
    <t>2019-2020</t>
  </si>
  <si>
    <t>STEP</t>
  </si>
  <si>
    <t>B.A.</t>
  </si>
  <si>
    <t>M.A.</t>
  </si>
  <si>
    <t>M.A. + 45</t>
  </si>
  <si>
    <t>EDS</t>
  </si>
  <si>
    <t>EDD</t>
  </si>
  <si>
    <t>ANNUAL</t>
  </si>
  <si>
    <t>SEMI-MO</t>
  </si>
  <si>
    <t>10 Month TEACHER - ELEM/MID-COUNSELOR SALARY SCHEDULE</t>
  </si>
  <si>
    <t xml:space="preserve">Bartlett City Schools </t>
  </si>
  <si>
    <t>10 MONTH TEACHER - ELEM/MID COUNSELOR  SALARY SCHEDULE</t>
  </si>
  <si>
    <t>ALL TEACHERS HIRED ON OR AFTER AUGUST 2, 2013 FOLLOW THIS SCHEDULE</t>
  </si>
  <si>
    <t>ED.D</t>
  </si>
  <si>
    <t>Bartlett City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</si>
</sst>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rgb="FFFF0000"/>
      <name val="Calibri (Body)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4" fontId="0" fillId="0" borderId="0" xfId="0" applyNumberFormat="1"/>
    <xf numFmtId="3" fontId="3" fillId="0" borderId="5" xfId="0" applyNumberFormat="1" applyFont="1" applyBorder="1" applyAlignment="1">
      <alignment horizontal="center"/>
    </xf>
    <xf numFmtId="3" fontId="0" fillId="0" borderId="0" xfId="0" applyNumberFormat="1"/>
    <xf numFmtId="3" fontId="0" fillId="0" borderId="5" xfId="0" applyNumberFormat="1" applyBorder="1"/>
    <xf numFmtId="4" fontId="0" fillId="0" borderId="5" xfId="0" applyNumberForma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8"/>
  <sheetViews>
    <sheetView tabSelected="1" topLeftCell="A4" zoomScale="150" zoomScaleNormal="150" zoomScalePageLayoutView="150" workbookViewId="0">
      <selection activeCell="A6" sqref="A6:C6"/>
    </sheetView>
  </sheetViews>
  <sheetFormatPr baseColWidth="10" defaultRowHeight="16"/>
  <cols>
    <col min="2" max="2" width="10.83203125" style="8"/>
    <col min="3" max="3" width="10.83203125" style="6"/>
    <col min="4" max="4" width="10.83203125" style="8"/>
    <col min="5" max="5" width="10.83203125" style="6"/>
    <col min="6" max="6" width="10.83203125" style="8"/>
    <col min="7" max="7" width="10.83203125" style="6"/>
    <col min="8" max="8" width="10.83203125" style="8"/>
    <col min="9" max="9" width="10.83203125" style="6"/>
    <col min="10" max="10" width="10.83203125" style="8"/>
    <col min="11" max="11" width="10.83203125" style="6"/>
  </cols>
  <sheetData>
    <row r="2" spans="1:11">
      <c r="A2" s="14" t="s">
        <v>15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s="15" t="s">
        <v>10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29">
      <c r="A6" s="13"/>
    </row>
    <row r="7" spans="1:11">
      <c r="A7" s="1" t="s">
        <v>2</v>
      </c>
      <c r="B7" s="16" t="s">
        <v>3</v>
      </c>
      <c r="C7" s="17"/>
      <c r="D7" s="16" t="s">
        <v>4</v>
      </c>
      <c r="E7" s="17"/>
      <c r="F7" s="16" t="s">
        <v>5</v>
      </c>
      <c r="G7" s="17"/>
      <c r="H7" s="16" t="s">
        <v>6</v>
      </c>
      <c r="I7" s="17"/>
      <c r="J7" s="16" t="s">
        <v>7</v>
      </c>
      <c r="K7" s="17"/>
    </row>
    <row r="8" spans="1:11">
      <c r="A8" s="2"/>
      <c r="B8" s="7" t="s">
        <v>8</v>
      </c>
      <c r="C8" s="5" t="s">
        <v>9</v>
      </c>
      <c r="D8" s="7" t="s">
        <v>8</v>
      </c>
      <c r="E8" s="5" t="s">
        <v>9</v>
      </c>
      <c r="F8" s="7" t="s">
        <v>8</v>
      </c>
      <c r="G8" s="5" t="s">
        <v>9</v>
      </c>
      <c r="H8" s="7" t="s">
        <v>8</v>
      </c>
      <c r="I8" s="5" t="s">
        <v>9</v>
      </c>
      <c r="J8" s="7" t="s">
        <v>8</v>
      </c>
      <c r="K8" s="5" t="s">
        <v>9</v>
      </c>
    </row>
    <row r="9" spans="1:11">
      <c r="A9" s="3">
        <v>0</v>
      </c>
      <c r="B9" s="9">
        <v>44270</v>
      </c>
      <c r="C9" s="10">
        <f>(B9/24)</f>
        <v>1844.5833333333333</v>
      </c>
      <c r="D9" s="9">
        <v>47861</v>
      </c>
      <c r="E9" s="10">
        <f>(D9/24)</f>
        <v>1994.2083333333333</v>
      </c>
      <c r="F9" s="9">
        <v>51572</v>
      </c>
      <c r="G9" s="10">
        <f>(F9/24)</f>
        <v>2148.8333333333335</v>
      </c>
      <c r="H9" s="9">
        <v>52299</v>
      </c>
      <c r="I9" s="10">
        <f>(H9/24)</f>
        <v>2179.125</v>
      </c>
      <c r="J9" s="9">
        <v>54222</v>
      </c>
      <c r="K9" s="10">
        <f>(J9/24)</f>
        <v>2259.25</v>
      </c>
    </row>
    <row r="10" spans="1:11">
      <c r="A10" s="3">
        <v>1</v>
      </c>
      <c r="B10" s="9">
        <v>45172</v>
      </c>
      <c r="C10" s="10">
        <f t="shared" ref="C10:C28" si="0">(B10/24)</f>
        <v>1882.1666666666667</v>
      </c>
      <c r="D10" s="9">
        <v>48976</v>
      </c>
      <c r="E10" s="10">
        <f t="shared" ref="E10:E28" si="1">(D10/24)</f>
        <v>2040.6666666666667</v>
      </c>
      <c r="F10" s="9">
        <v>52869</v>
      </c>
      <c r="G10" s="10">
        <f t="shared" ref="G10:G28" si="2">(F10/24)</f>
        <v>2202.875</v>
      </c>
      <c r="H10" s="9">
        <v>53606</v>
      </c>
      <c r="I10" s="10">
        <f t="shared" ref="I10:I28" si="3">(H10/24)</f>
        <v>2233.5833333333335</v>
      </c>
      <c r="J10" s="9">
        <v>55460</v>
      </c>
      <c r="K10" s="10">
        <f t="shared" ref="K10:K28" si="4">(J10/24)</f>
        <v>2310.8333333333335</v>
      </c>
    </row>
    <row r="11" spans="1:11">
      <c r="A11" s="3">
        <v>2</v>
      </c>
      <c r="B11" s="9">
        <v>46272</v>
      </c>
      <c r="C11" s="10">
        <f t="shared" si="0"/>
        <v>1928</v>
      </c>
      <c r="D11" s="9">
        <v>50051</v>
      </c>
      <c r="E11" s="10">
        <f t="shared" si="1"/>
        <v>2085.4583333333335</v>
      </c>
      <c r="F11" s="9">
        <v>54103</v>
      </c>
      <c r="G11" s="10">
        <f t="shared" si="2"/>
        <v>2254.2916666666665</v>
      </c>
      <c r="H11" s="9">
        <v>54836</v>
      </c>
      <c r="I11" s="10">
        <f t="shared" si="3"/>
        <v>2284.8333333333335</v>
      </c>
      <c r="J11" s="9">
        <v>56691</v>
      </c>
      <c r="K11" s="10">
        <f t="shared" si="4"/>
        <v>2362.125</v>
      </c>
    </row>
    <row r="12" spans="1:11">
      <c r="A12" s="3">
        <v>3</v>
      </c>
      <c r="B12" s="9">
        <v>47299</v>
      </c>
      <c r="C12" s="10">
        <f t="shared" si="0"/>
        <v>1970.7916666666667</v>
      </c>
      <c r="D12" s="9">
        <v>51083</v>
      </c>
      <c r="E12" s="10">
        <f t="shared" si="1"/>
        <v>2128.4583333333335</v>
      </c>
      <c r="F12" s="9">
        <v>55310</v>
      </c>
      <c r="G12" s="10">
        <f t="shared" si="2"/>
        <v>2304.5833333333335</v>
      </c>
      <c r="H12" s="9">
        <v>56047</v>
      </c>
      <c r="I12" s="10">
        <f t="shared" si="3"/>
        <v>2335.2916666666665</v>
      </c>
      <c r="J12" s="9">
        <v>57897</v>
      </c>
      <c r="K12" s="10">
        <f t="shared" si="4"/>
        <v>2412.375</v>
      </c>
    </row>
    <row r="13" spans="1:11">
      <c r="A13" s="3">
        <v>4</v>
      </c>
      <c r="B13" s="9">
        <v>48260</v>
      </c>
      <c r="C13" s="10">
        <f t="shared" si="0"/>
        <v>2010.8333333333333</v>
      </c>
      <c r="D13" s="9">
        <v>52132</v>
      </c>
      <c r="E13" s="10">
        <f t="shared" si="1"/>
        <v>2172.1666666666665</v>
      </c>
      <c r="F13" s="9">
        <v>56633</v>
      </c>
      <c r="G13" s="10">
        <f t="shared" si="2"/>
        <v>2359.7083333333335</v>
      </c>
      <c r="H13" s="9">
        <v>57373</v>
      </c>
      <c r="I13" s="10">
        <f t="shared" si="3"/>
        <v>2390.5416666666665</v>
      </c>
      <c r="J13" s="9">
        <v>59282</v>
      </c>
      <c r="K13" s="10">
        <f t="shared" si="4"/>
        <v>2470.0833333333335</v>
      </c>
    </row>
    <row r="14" spans="1:11">
      <c r="A14" s="3">
        <v>5</v>
      </c>
      <c r="B14" s="9">
        <v>49112</v>
      </c>
      <c r="C14" s="10">
        <f t="shared" si="0"/>
        <v>2046.3333333333333</v>
      </c>
      <c r="D14" s="9">
        <v>53025</v>
      </c>
      <c r="E14" s="10">
        <f t="shared" si="1"/>
        <v>2209.375</v>
      </c>
      <c r="F14" s="9">
        <v>57678</v>
      </c>
      <c r="G14" s="10">
        <f t="shared" si="2"/>
        <v>2403.25</v>
      </c>
      <c r="H14" s="9">
        <v>58384</v>
      </c>
      <c r="I14" s="10">
        <f t="shared" si="3"/>
        <v>2432.6666666666665</v>
      </c>
      <c r="J14" s="9">
        <v>60321</v>
      </c>
      <c r="K14" s="10">
        <f t="shared" si="4"/>
        <v>2513.375</v>
      </c>
    </row>
    <row r="15" spans="1:11">
      <c r="A15" s="3">
        <v>6</v>
      </c>
      <c r="B15" s="9">
        <v>50317</v>
      </c>
      <c r="C15" s="10">
        <f t="shared" si="0"/>
        <v>2096.5416666666665</v>
      </c>
      <c r="D15" s="9">
        <v>54303</v>
      </c>
      <c r="E15" s="10">
        <f t="shared" si="1"/>
        <v>2262.625</v>
      </c>
      <c r="F15" s="9">
        <v>59159</v>
      </c>
      <c r="G15" s="10">
        <f t="shared" si="2"/>
        <v>2464.9583333333335</v>
      </c>
      <c r="H15" s="9">
        <v>59873</v>
      </c>
      <c r="I15" s="10">
        <f t="shared" si="3"/>
        <v>2494.7083333333335</v>
      </c>
      <c r="J15" s="9">
        <v>61807</v>
      </c>
      <c r="K15" s="10">
        <f t="shared" si="4"/>
        <v>2575.2916666666665</v>
      </c>
    </row>
    <row r="16" spans="1:11">
      <c r="A16" s="3">
        <v>7</v>
      </c>
      <c r="B16" s="9">
        <v>50934</v>
      </c>
      <c r="C16" s="10">
        <f t="shared" si="0"/>
        <v>2122.25</v>
      </c>
      <c r="D16" s="9">
        <v>54958</v>
      </c>
      <c r="E16" s="10">
        <f t="shared" si="1"/>
        <v>2289.9166666666665</v>
      </c>
      <c r="F16" s="9">
        <v>60150</v>
      </c>
      <c r="G16" s="10">
        <f t="shared" si="2"/>
        <v>2506.25</v>
      </c>
      <c r="H16" s="9">
        <v>60897</v>
      </c>
      <c r="I16" s="10">
        <f t="shared" si="3"/>
        <v>2537.375</v>
      </c>
      <c r="J16" s="9">
        <v>62754</v>
      </c>
      <c r="K16" s="10">
        <f t="shared" si="4"/>
        <v>2614.75</v>
      </c>
    </row>
    <row r="17" spans="1:11">
      <c r="A17" s="3">
        <v>8</v>
      </c>
      <c r="B17" s="9">
        <v>51937</v>
      </c>
      <c r="C17" s="10">
        <f t="shared" si="0"/>
        <v>2164.0416666666665</v>
      </c>
      <c r="D17" s="9">
        <v>56052</v>
      </c>
      <c r="E17" s="10">
        <f t="shared" si="1"/>
        <v>2335.5</v>
      </c>
      <c r="F17" s="9">
        <v>61334</v>
      </c>
      <c r="G17" s="10">
        <f t="shared" si="2"/>
        <v>2555.5833333333335</v>
      </c>
      <c r="H17" s="9">
        <v>62103</v>
      </c>
      <c r="I17" s="10">
        <f t="shared" si="3"/>
        <v>2587.625</v>
      </c>
      <c r="J17" s="9">
        <v>63935</v>
      </c>
      <c r="K17" s="10">
        <f t="shared" si="4"/>
        <v>2663.9583333333335</v>
      </c>
    </row>
    <row r="18" spans="1:11">
      <c r="A18" s="3">
        <v>9</v>
      </c>
      <c r="B18" s="9">
        <v>52414</v>
      </c>
      <c r="C18" s="10">
        <f t="shared" si="0"/>
        <v>2183.9166666666665</v>
      </c>
      <c r="D18" s="9">
        <v>56573</v>
      </c>
      <c r="E18" s="10">
        <f t="shared" si="1"/>
        <v>2357.2083333333335</v>
      </c>
      <c r="F18" s="9">
        <v>62079</v>
      </c>
      <c r="G18" s="10">
        <f t="shared" si="2"/>
        <v>2586.625</v>
      </c>
      <c r="H18" s="9">
        <v>62835</v>
      </c>
      <c r="I18" s="10">
        <f t="shared" si="3"/>
        <v>2618.125</v>
      </c>
      <c r="J18" s="9">
        <v>65127</v>
      </c>
      <c r="K18" s="10">
        <f t="shared" si="4"/>
        <v>2713.625</v>
      </c>
    </row>
    <row r="19" spans="1:11">
      <c r="A19" s="3">
        <v>10</v>
      </c>
      <c r="B19" s="9">
        <v>53464</v>
      </c>
      <c r="C19" s="10">
        <f t="shared" si="0"/>
        <v>2227.6666666666665</v>
      </c>
      <c r="D19" s="9">
        <v>57715</v>
      </c>
      <c r="E19" s="10">
        <f t="shared" si="1"/>
        <v>2404.7916666666665</v>
      </c>
      <c r="F19" s="9">
        <v>63353</v>
      </c>
      <c r="G19" s="10">
        <f t="shared" si="2"/>
        <v>2639.7083333333335</v>
      </c>
      <c r="H19" s="9">
        <v>64081</v>
      </c>
      <c r="I19" s="10">
        <f t="shared" si="3"/>
        <v>2670.0416666666665</v>
      </c>
      <c r="J19" s="9">
        <v>65973</v>
      </c>
      <c r="K19" s="10">
        <f t="shared" si="4"/>
        <v>2748.875</v>
      </c>
    </row>
    <row r="20" spans="1:11">
      <c r="A20" s="3">
        <v>11</v>
      </c>
      <c r="B20" s="9">
        <v>54917</v>
      </c>
      <c r="C20" s="10">
        <f t="shared" si="0"/>
        <v>2288.2083333333335</v>
      </c>
      <c r="D20" s="9">
        <v>59258</v>
      </c>
      <c r="E20" s="10">
        <f t="shared" si="1"/>
        <v>2469.0833333333335</v>
      </c>
      <c r="F20" s="9">
        <v>65257</v>
      </c>
      <c r="G20" s="10">
        <f t="shared" si="2"/>
        <v>2719.0416666666665</v>
      </c>
      <c r="H20" s="9">
        <v>65949</v>
      </c>
      <c r="I20" s="10">
        <f t="shared" si="3"/>
        <v>2747.875</v>
      </c>
      <c r="J20" s="9">
        <v>67890</v>
      </c>
      <c r="K20" s="10">
        <f t="shared" si="4"/>
        <v>2828.75</v>
      </c>
    </row>
    <row r="21" spans="1:11">
      <c r="A21" s="3">
        <v>12</v>
      </c>
      <c r="B21" s="9">
        <v>56238</v>
      </c>
      <c r="C21" s="10">
        <f t="shared" si="0"/>
        <v>2343.25</v>
      </c>
      <c r="D21" s="9">
        <v>60575</v>
      </c>
      <c r="E21" s="10">
        <f t="shared" si="1"/>
        <v>2523.9583333333335</v>
      </c>
      <c r="F21" s="9">
        <v>66689</v>
      </c>
      <c r="G21" s="10">
        <f t="shared" si="2"/>
        <v>2778.7083333333335</v>
      </c>
      <c r="H21" s="9">
        <v>67455</v>
      </c>
      <c r="I21" s="10">
        <f t="shared" si="3"/>
        <v>2810.625</v>
      </c>
      <c r="J21" s="9">
        <v>69297</v>
      </c>
      <c r="K21" s="10">
        <f t="shared" si="4"/>
        <v>2887.375</v>
      </c>
    </row>
    <row r="22" spans="1:11">
      <c r="A22" s="3">
        <v>13</v>
      </c>
      <c r="B22" s="9">
        <v>57580</v>
      </c>
      <c r="C22" s="10">
        <f t="shared" si="0"/>
        <v>2399.1666666666665</v>
      </c>
      <c r="D22" s="9">
        <v>61875</v>
      </c>
      <c r="E22" s="10">
        <f t="shared" si="1"/>
        <v>2578.125</v>
      </c>
      <c r="F22" s="9">
        <v>68274</v>
      </c>
      <c r="G22" s="10">
        <f t="shared" si="2"/>
        <v>2844.75</v>
      </c>
      <c r="H22" s="9">
        <v>68998</v>
      </c>
      <c r="I22" s="10">
        <f t="shared" si="3"/>
        <v>2874.9166666666665</v>
      </c>
      <c r="J22" s="9">
        <v>70939</v>
      </c>
      <c r="K22" s="10">
        <f t="shared" si="4"/>
        <v>2955.7916666666665</v>
      </c>
    </row>
    <row r="23" spans="1:11">
      <c r="A23" s="3">
        <v>14</v>
      </c>
      <c r="B23" s="9">
        <v>58832</v>
      </c>
      <c r="C23" s="10">
        <f t="shared" si="0"/>
        <v>2451.3333333333335</v>
      </c>
      <c r="D23" s="9">
        <v>63265</v>
      </c>
      <c r="E23" s="10">
        <f t="shared" si="1"/>
        <v>2636.0416666666665</v>
      </c>
      <c r="F23" s="9">
        <v>69689</v>
      </c>
      <c r="G23" s="10">
        <f t="shared" si="2"/>
        <v>2903.7083333333335</v>
      </c>
      <c r="H23" s="9">
        <v>70455</v>
      </c>
      <c r="I23" s="10">
        <f t="shared" si="3"/>
        <v>2935.625</v>
      </c>
      <c r="J23" s="9">
        <v>72286</v>
      </c>
      <c r="K23" s="10">
        <f t="shared" si="4"/>
        <v>3011.9166666666665</v>
      </c>
    </row>
    <row r="24" spans="1:11">
      <c r="A24" s="3">
        <v>15</v>
      </c>
      <c r="B24" s="9">
        <v>60178</v>
      </c>
      <c r="C24" s="10">
        <f t="shared" si="0"/>
        <v>2507.4166666666665</v>
      </c>
      <c r="D24" s="9">
        <v>64539</v>
      </c>
      <c r="E24" s="10">
        <f t="shared" si="1"/>
        <v>2689.125</v>
      </c>
      <c r="F24" s="9">
        <v>71230</v>
      </c>
      <c r="G24" s="10">
        <f t="shared" si="2"/>
        <v>2967.9166666666665</v>
      </c>
      <c r="H24" s="9">
        <v>71985</v>
      </c>
      <c r="I24" s="10">
        <f t="shared" si="3"/>
        <v>2999.375</v>
      </c>
      <c r="J24" s="9">
        <v>73860</v>
      </c>
      <c r="K24" s="10">
        <f t="shared" si="4"/>
        <v>3077.5</v>
      </c>
    </row>
    <row r="25" spans="1:11">
      <c r="A25" s="3">
        <v>16</v>
      </c>
      <c r="B25" s="9">
        <v>60778</v>
      </c>
      <c r="C25" s="10">
        <f t="shared" si="0"/>
        <v>2532.4166666666665</v>
      </c>
      <c r="D25" s="9">
        <v>65140</v>
      </c>
      <c r="E25" s="10">
        <f t="shared" si="1"/>
        <v>2714.1666666666665</v>
      </c>
      <c r="F25" s="9">
        <v>71831</v>
      </c>
      <c r="G25" s="10">
        <f t="shared" si="2"/>
        <v>2992.9583333333335</v>
      </c>
      <c r="H25" s="9">
        <v>72586</v>
      </c>
      <c r="I25" s="10">
        <f t="shared" si="3"/>
        <v>3024.4166666666665</v>
      </c>
      <c r="J25" s="9">
        <v>74463</v>
      </c>
      <c r="K25" s="10">
        <f t="shared" si="4"/>
        <v>3102.625</v>
      </c>
    </row>
    <row r="26" spans="1:11">
      <c r="A26" s="3">
        <v>17</v>
      </c>
      <c r="B26" s="9">
        <v>61380</v>
      </c>
      <c r="C26" s="10">
        <f t="shared" si="0"/>
        <v>2557.5</v>
      </c>
      <c r="D26" s="9">
        <v>65742</v>
      </c>
      <c r="E26" s="10">
        <f t="shared" si="1"/>
        <v>2739.25</v>
      </c>
      <c r="F26" s="9">
        <v>72432</v>
      </c>
      <c r="G26" s="10">
        <f t="shared" si="2"/>
        <v>3018</v>
      </c>
      <c r="H26" s="9">
        <v>73187</v>
      </c>
      <c r="I26" s="10">
        <f t="shared" si="3"/>
        <v>3049.4583333333335</v>
      </c>
      <c r="J26" s="9">
        <v>75063</v>
      </c>
      <c r="K26" s="10">
        <f t="shared" si="4"/>
        <v>3127.625</v>
      </c>
    </row>
    <row r="27" spans="1:11">
      <c r="A27" s="3">
        <v>18</v>
      </c>
      <c r="B27" s="9">
        <v>62225</v>
      </c>
      <c r="C27" s="10">
        <f t="shared" si="0"/>
        <v>2592.7083333333335</v>
      </c>
      <c r="D27" s="9">
        <v>66677</v>
      </c>
      <c r="E27" s="10">
        <f t="shared" si="1"/>
        <v>2778.2083333333335</v>
      </c>
      <c r="F27" s="9">
        <v>73503</v>
      </c>
      <c r="G27" s="10">
        <f t="shared" si="2"/>
        <v>3062.625</v>
      </c>
      <c r="H27" s="9">
        <v>74273</v>
      </c>
      <c r="I27" s="10">
        <f t="shared" si="3"/>
        <v>3094.7083333333335</v>
      </c>
      <c r="J27" s="9">
        <v>76186</v>
      </c>
      <c r="K27" s="10">
        <f t="shared" si="4"/>
        <v>3174.4166666666665</v>
      </c>
    </row>
    <row r="28" spans="1:11">
      <c r="A28" s="4">
        <v>19</v>
      </c>
      <c r="B28" s="9">
        <v>63470</v>
      </c>
      <c r="C28" s="10">
        <f t="shared" si="0"/>
        <v>2644.5833333333335</v>
      </c>
      <c r="D28" s="9">
        <v>68010</v>
      </c>
      <c r="E28" s="10">
        <f t="shared" si="1"/>
        <v>2833.75</v>
      </c>
      <c r="F28" s="9">
        <v>74973</v>
      </c>
      <c r="G28" s="10">
        <f t="shared" si="2"/>
        <v>3123.875</v>
      </c>
      <c r="H28" s="9">
        <v>75759</v>
      </c>
      <c r="I28" s="10">
        <f t="shared" si="3"/>
        <v>3156.625</v>
      </c>
      <c r="J28" s="9">
        <v>77709</v>
      </c>
      <c r="K28" s="10">
        <f t="shared" si="4"/>
        <v>3237.875</v>
      </c>
    </row>
  </sheetData>
  <mergeCells count="9">
    <mergeCell ref="A2:K2"/>
    <mergeCell ref="A3:K3"/>
    <mergeCell ref="A4:K4"/>
    <mergeCell ref="A5:K5"/>
    <mergeCell ref="B7:C7"/>
    <mergeCell ref="D7:E7"/>
    <mergeCell ref="F7:G7"/>
    <mergeCell ref="H7:I7"/>
    <mergeCell ref="J7:K7"/>
  </mergeCells>
  <phoneticPr fontId="6" type="noConversion"/>
  <pageMargins left="0.7" right="0.7" top="0.75" bottom="0.75" header="0.3" footer="0.3"/>
  <pageSetup scale="7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8"/>
  <sheetViews>
    <sheetView topLeftCell="A3" zoomScale="150" zoomScaleNormal="150" zoomScalePageLayoutView="150" workbookViewId="0">
      <selection activeCell="A6" sqref="A6"/>
    </sheetView>
  </sheetViews>
  <sheetFormatPr baseColWidth="10" defaultRowHeight="16"/>
  <cols>
    <col min="7" max="7" width="10.83203125" style="8"/>
    <col min="8" max="8" width="10.83203125" style="6"/>
  </cols>
  <sheetData>
    <row r="2" spans="1:10">
      <c r="B2" s="18" t="s">
        <v>11</v>
      </c>
      <c r="C2" s="18"/>
      <c r="D2" s="18"/>
      <c r="E2" s="18"/>
      <c r="F2" s="18"/>
      <c r="G2" s="18"/>
      <c r="H2" s="18"/>
      <c r="I2" s="18"/>
      <c r="J2" s="18"/>
    </row>
    <row r="3" spans="1:10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</row>
    <row r="4" spans="1:10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</row>
    <row r="5" spans="1:10">
      <c r="A5" s="18" t="s">
        <v>13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ht="29">
      <c r="A6" s="13"/>
    </row>
    <row r="7" spans="1:10">
      <c r="B7" s="11"/>
      <c r="C7" s="16" t="s">
        <v>3</v>
      </c>
      <c r="D7" s="17"/>
      <c r="E7" s="16" t="s">
        <v>4</v>
      </c>
      <c r="F7" s="17"/>
      <c r="G7" s="16" t="s">
        <v>14</v>
      </c>
      <c r="H7" s="17"/>
    </row>
    <row r="8" spans="1:10">
      <c r="B8" s="12" t="s">
        <v>2</v>
      </c>
      <c r="C8" s="7" t="s">
        <v>8</v>
      </c>
      <c r="D8" s="5" t="s">
        <v>9</v>
      </c>
      <c r="E8" s="7" t="s">
        <v>8</v>
      </c>
      <c r="F8" s="5" t="s">
        <v>9</v>
      </c>
      <c r="G8" s="7" t="s">
        <v>8</v>
      </c>
      <c r="H8" s="5" t="s">
        <v>9</v>
      </c>
    </row>
    <row r="9" spans="1:10">
      <c r="B9" s="3">
        <v>0</v>
      </c>
      <c r="C9" s="9">
        <v>44270</v>
      </c>
      <c r="D9" s="10">
        <f>(C9/24)</f>
        <v>1844.5833333333333</v>
      </c>
      <c r="E9" s="9">
        <v>47861</v>
      </c>
      <c r="F9" s="10">
        <f>(E9/24)</f>
        <v>1994.2083333333333</v>
      </c>
      <c r="G9" s="9">
        <f>(E9+1000)</f>
        <v>48861</v>
      </c>
      <c r="H9" s="10">
        <f>(G9/24)</f>
        <v>2035.875</v>
      </c>
    </row>
    <row r="10" spans="1:10">
      <c r="B10" s="3">
        <v>1</v>
      </c>
      <c r="C10" s="9">
        <v>45172</v>
      </c>
      <c r="D10" s="10">
        <f t="shared" ref="D10:D28" si="0">(C10/24)</f>
        <v>1882.1666666666667</v>
      </c>
      <c r="E10" s="9">
        <v>48976</v>
      </c>
      <c r="F10" s="10">
        <f t="shared" ref="F10:F28" si="1">(E10/24)</f>
        <v>2040.6666666666667</v>
      </c>
      <c r="G10" s="9">
        <f t="shared" ref="G10:G28" si="2">(E10+1000)</f>
        <v>49976</v>
      </c>
      <c r="H10" s="10">
        <f t="shared" ref="H10:H28" si="3">(G10/24)</f>
        <v>2082.3333333333335</v>
      </c>
    </row>
    <row r="11" spans="1:10">
      <c r="B11" s="3">
        <v>2</v>
      </c>
      <c r="C11" s="9">
        <v>46272</v>
      </c>
      <c r="D11" s="10">
        <f t="shared" si="0"/>
        <v>1928</v>
      </c>
      <c r="E11" s="9">
        <v>50051</v>
      </c>
      <c r="F11" s="10">
        <f t="shared" si="1"/>
        <v>2085.4583333333335</v>
      </c>
      <c r="G11" s="9">
        <f t="shared" si="2"/>
        <v>51051</v>
      </c>
      <c r="H11" s="10">
        <f t="shared" si="3"/>
        <v>2127.125</v>
      </c>
    </row>
    <row r="12" spans="1:10">
      <c r="B12" s="3">
        <v>3</v>
      </c>
      <c r="C12" s="9">
        <v>47299</v>
      </c>
      <c r="D12" s="10">
        <f t="shared" si="0"/>
        <v>1970.7916666666667</v>
      </c>
      <c r="E12" s="9">
        <v>51083</v>
      </c>
      <c r="F12" s="10">
        <f t="shared" si="1"/>
        <v>2128.4583333333335</v>
      </c>
      <c r="G12" s="9">
        <f t="shared" si="2"/>
        <v>52083</v>
      </c>
      <c r="H12" s="10">
        <f t="shared" si="3"/>
        <v>2170.125</v>
      </c>
    </row>
    <row r="13" spans="1:10">
      <c r="B13" s="3">
        <v>4</v>
      </c>
      <c r="C13" s="9">
        <v>48260</v>
      </c>
      <c r="D13" s="10">
        <f t="shared" si="0"/>
        <v>2010.8333333333333</v>
      </c>
      <c r="E13" s="9">
        <v>52132</v>
      </c>
      <c r="F13" s="10">
        <f t="shared" si="1"/>
        <v>2172.1666666666665</v>
      </c>
      <c r="G13" s="9">
        <f t="shared" si="2"/>
        <v>53132</v>
      </c>
      <c r="H13" s="10">
        <f t="shared" si="3"/>
        <v>2213.8333333333335</v>
      </c>
    </row>
    <row r="14" spans="1:10">
      <c r="B14" s="3">
        <v>5</v>
      </c>
      <c r="C14" s="9">
        <v>49112</v>
      </c>
      <c r="D14" s="10">
        <f t="shared" si="0"/>
        <v>2046.3333333333333</v>
      </c>
      <c r="E14" s="9">
        <v>53025</v>
      </c>
      <c r="F14" s="10">
        <f t="shared" si="1"/>
        <v>2209.375</v>
      </c>
      <c r="G14" s="9">
        <f t="shared" si="2"/>
        <v>54025</v>
      </c>
      <c r="H14" s="10">
        <f t="shared" si="3"/>
        <v>2251.0416666666665</v>
      </c>
    </row>
    <row r="15" spans="1:10">
      <c r="B15" s="3">
        <v>6</v>
      </c>
      <c r="C15" s="9">
        <v>50317</v>
      </c>
      <c r="D15" s="10">
        <f t="shared" si="0"/>
        <v>2096.5416666666665</v>
      </c>
      <c r="E15" s="9">
        <v>54303</v>
      </c>
      <c r="F15" s="10">
        <f t="shared" si="1"/>
        <v>2262.625</v>
      </c>
      <c r="G15" s="9">
        <f t="shared" si="2"/>
        <v>55303</v>
      </c>
      <c r="H15" s="10">
        <f t="shared" si="3"/>
        <v>2304.2916666666665</v>
      </c>
    </row>
    <row r="16" spans="1:10">
      <c r="B16" s="3">
        <v>7</v>
      </c>
      <c r="C16" s="9">
        <v>50934</v>
      </c>
      <c r="D16" s="10">
        <f t="shared" si="0"/>
        <v>2122.25</v>
      </c>
      <c r="E16" s="9">
        <v>54958</v>
      </c>
      <c r="F16" s="10">
        <f t="shared" si="1"/>
        <v>2289.9166666666665</v>
      </c>
      <c r="G16" s="9">
        <f t="shared" si="2"/>
        <v>55958</v>
      </c>
      <c r="H16" s="10">
        <f t="shared" si="3"/>
        <v>2331.5833333333335</v>
      </c>
    </row>
    <row r="17" spans="2:8">
      <c r="B17" s="3">
        <v>8</v>
      </c>
      <c r="C17" s="9">
        <v>51937</v>
      </c>
      <c r="D17" s="10">
        <f t="shared" si="0"/>
        <v>2164.0416666666665</v>
      </c>
      <c r="E17" s="9">
        <v>56052</v>
      </c>
      <c r="F17" s="10">
        <f t="shared" si="1"/>
        <v>2335.5</v>
      </c>
      <c r="G17" s="9">
        <f t="shared" si="2"/>
        <v>57052</v>
      </c>
      <c r="H17" s="10">
        <f t="shared" si="3"/>
        <v>2377.1666666666665</v>
      </c>
    </row>
    <row r="18" spans="2:8">
      <c r="B18" s="3">
        <v>9</v>
      </c>
      <c r="C18" s="9">
        <v>52414</v>
      </c>
      <c r="D18" s="10">
        <f t="shared" si="0"/>
        <v>2183.9166666666665</v>
      </c>
      <c r="E18" s="9">
        <v>56573</v>
      </c>
      <c r="F18" s="10">
        <f t="shared" si="1"/>
        <v>2357.2083333333335</v>
      </c>
      <c r="G18" s="9">
        <f t="shared" si="2"/>
        <v>57573</v>
      </c>
      <c r="H18" s="10">
        <f t="shared" si="3"/>
        <v>2398.875</v>
      </c>
    </row>
    <row r="19" spans="2:8">
      <c r="B19" s="3">
        <v>10</v>
      </c>
      <c r="C19" s="9">
        <v>53464</v>
      </c>
      <c r="D19" s="10">
        <f t="shared" si="0"/>
        <v>2227.6666666666665</v>
      </c>
      <c r="E19" s="9">
        <v>57715</v>
      </c>
      <c r="F19" s="10">
        <f t="shared" si="1"/>
        <v>2404.7916666666665</v>
      </c>
      <c r="G19" s="9">
        <f t="shared" si="2"/>
        <v>58715</v>
      </c>
      <c r="H19" s="10">
        <f t="shared" si="3"/>
        <v>2446.4583333333335</v>
      </c>
    </row>
    <row r="20" spans="2:8">
      <c r="B20" s="3">
        <v>11</v>
      </c>
      <c r="C20" s="9">
        <v>54917</v>
      </c>
      <c r="D20" s="10">
        <f t="shared" si="0"/>
        <v>2288.2083333333335</v>
      </c>
      <c r="E20" s="9">
        <v>59258</v>
      </c>
      <c r="F20" s="10">
        <f t="shared" si="1"/>
        <v>2469.0833333333335</v>
      </c>
      <c r="G20" s="9">
        <f t="shared" si="2"/>
        <v>60258</v>
      </c>
      <c r="H20" s="10">
        <f t="shared" si="3"/>
        <v>2510.75</v>
      </c>
    </row>
    <row r="21" spans="2:8">
      <c r="B21" s="3">
        <v>12</v>
      </c>
      <c r="C21" s="9">
        <v>56238</v>
      </c>
      <c r="D21" s="10">
        <f t="shared" si="0"/>
        <v>2343.25</v>
      </c>
      <c r="E21" s="9">
        <v>60575</v>
      </c>
      <c r="F21" s="10">
        <f t="shared" si="1"/>
        <v>2523.9583333333335</v>
      </c>
      <c r="G21" s="9">
        <f t="shared" si="2"/>
        <v>61575</v>
      </c>
      <c r="H21" s="10">
        <f t="shared" si="3"/>
        <v>2565.625</v>
      </c>
    </row>
    <row r="22" spans="2:8">
      <c r="B22" s="3">
        <v>13</v>
      </c>
      <c r="C22" s="9">
        <v>57580</v>
      </c>
      <c r="D22" s="10">
        <f t="shared" si="0"/>
        <v>2399.1666666666665</v>
      </c>
      <c r="E22" s="9">
        <v>61875</v>
      </c>
      <c r="F22" s="10">
        <f t="shared" si="1"/>
        <v>2578.125</v>
      </c>
      <c r="G22" s="9">
        <f t="shared" si="2"/>
        <v>62875</v>
      </c>
      <c r="H22" s="10">
        <f t="shared" si="3"/>
        <v>2619.7916666666665</v>
      </c>
    </row>
    <row r="23" spans="2:8">
      <c r="B23" s="3">
        <v>14</v>
      </c>
      <c r="C23" s="9">
        <v>58832</v>
      </c>
      <c r="D23" s="10">
        <f t="shared" si="0"/>
        <v>2451.3333333333335</v>
      </c>
      <c r="E23" s="9">
        <v>63265</v>
      </c>
      <c r="F23" s="10">
        <f t="shared" si="1"/>
        <v>2636.0416666666665</v>
      </c>
      <c r="G23" s="9">
        <f t="shared" si="2"/>
        <v>64265</v>
      </c>
      <c r="H23" s="10">
        <f t="shared" si="3"/>
        <v>2677.7083333333335</v>
      </c>
    </row>
    <row r="24" spans="2:8">
      <c r="B24" s="3">
        <v>15</v>
      </c>
      <c r="C24" s="9">
        <v>60178</v>
      </c>
      <c r="D24" s="10">
        <f t="shared" si="0"/>
        <v>2507.4166666666665</v>
      </c>
      <c r="E24" s="9">
        <v>64539</v>
      </c>
      <c r="F24" s="10">
        <f t="shared" si="1"/>
        <v>2689.125</v>
      </c>
      <c r="G24" s="9">
        <f t="shared" si="2"/>
        <v>65539</v>
      </c>
      <c r="H24" s="10">
        <f t="shared" si="3"/>
        <v>2730.7916666666665</v>
      </c>
    </row>
    <row r="25" spans="2:8">
      <c r="B25" s="3">
        <v>16</v>
      </c>
      <c r="C25" s="9">
        <v>60778</v>
      </c>
      <c r="D25" s="10">
        <f t="shared" si="0"/>
        <v>2532.4166666666665</v>
      </c>
      <c r="E25" s="9">
        <v>65140</v>
      </c>
      <c r="F25" s="10">
        <f t="shared" si="1"/>
        <v>2714.1666666666665</v>
      </c>
      <c r="G25" s="9">
        <f t="shared" si="2"/>
        <v>66140</v>
      </c>
      <c r="H25" s="10">
        <f t="shared" si="3"/>
        <v>2755.8333333333335</v>
      </c>
    </row>
    <row r="26" spans="2:8">
      <c r="B26" s="3">
        <v>17</v>
      </c>
      <c r="C26" s="9">
        <v>61380</v>
      </c>
      <c r="D26" s="10">
        <f t="shared" si="0"/>
        <v>2557.5</v>
      </c>
      <c r="E26" s="9">
        <v>65742</v>
      </c>
      <c r="F26" s="10">
        <f t="shared" si="1"/>
        <v>2739.25</v>
      </c>
      <c r="G26" s="9">
        <f t="shared" si="2"/>
        <v>66742</v>
      </c>
      <c r="H26" s="10">
        <f t="shared" si="3"/>
        <v>2780.9166666666665</v>
      </c>
    </row>
    <row r="27" spans="2:8">
      <c r="B27" s="3">
        <v>18</v>
      </c>
      <c r="C27" s="9">
        <v>62225</v>
      </c>
      <c r="D27" s="10">
        <f t="shared" si="0"/>
        <v>2592.7083333333335</v>
      </c>
      <c r="E27" s="9">
        <v>66677</v>
      </c>
      <c r="F27" s="10">
        <f t="shared" si="1"/>
        <v>2778.2083333333335</v>
      </c>
      <c r="G27" s="9">
        <f t="shared" si="2"/>
        <v>67677</v>
      </c>
      <c r="H27" s="10">
        <f t="shared" si="3"/>
        <v>2819.875</v>
      </c>
    </row>
    <row r="28" spans="2:8">
      <c r="B28" s="3">
        <v>19</v>
      </c>
      <c r="C28" s="9">
        <v>63470</v>
      </c>
      <c r="D28" s="10">
        <f t="shared" si="0"/>
        <v>2644.5833333333335</v>
      </c>
      <c r="E28" s="9">
        <v>68010</v>
      </c>
      <c r="F28" s="10">
        <f t="shared" si="1"/>
        <v>2833.75</v>
      </c>
      <c r="G28" s="9">
        <f t="shared" si="2"/>
        <v>69010</v>
      </c>
      <c r="H28" s="10">
        <f t="shared" si="3"/>
        <v>2875.4166666666665</v>
      </c>
    </row>
  </sheetData>
  <mergeCells count="7">
    <mergeCell ref="B2:J2"/>
    <mergeCell ref="C7:D7"/>
    <mergeCell ref="E7:F7"/>
    <mergeCell ref="G7:H7"/>
    <mergeCell ref="A3:J3"/>
    <mergeCell ref="A4:J4"/>
    <mergeCell ref="A5:J5"/>
  </mergeCells>
  <phoneticPr fontId="6" type="noConversion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TSS</vt:lpstr>
      <vt:lpstr>DTSS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2019-04-01T19:16:12Z</cp:lastPrinted>
  <dcterms:created xsi:type="dcterms:W3CDTF">2019-03-28T20:22:53Z</dcterms:created>
  <dcterms:modified xsi:type="dcterms:W3CDTF">2019-06-04T19:33:16Z</dcterms:modified>
</cp:coreProperties>
</file>