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sheets/sheet2.xml" ContentType="application/vnd.openxmlformats-officedocument.spreadsheetml.worksheet+xml"/>
  <Override PartName="/docProps/app.xml" ContentType="application/vnd.openxmlformats-officedocument.extended-properti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10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JAldinger/Documents/"/>
    </mc:Choice>
  </mc:AlternateContent>
  <xr:revisionPtr revIDLastSave="0" documentId="13_ncr:1_{9F142C37-C104-1346-8BEF-9A6C151092F5}" xr6:coauthVersionLast="45" xr6:coauthVersionMax="45" xr10:uidLastSave="{00000000-0000-0000-0000-000000000000}"/>
  <bookViews>
    <workbookView xWindow="9460" yWindow="3680" windowWidth="18960" windowHeight="16520" xr2:uid="{9FDC7DEB-B673-EF46-9390-35B58B987B6D}"/>
  </bookViews>
  <sheets>
    <sheet name="10 mont teacher " sheetId="1" r:id="rId1"/>
    <sheet name="11 month teacher" sheetId="2" r:id="rId2"/>
    <sheet name="12 month teacher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K28" i="3" l="1"/>
  <c r="I28" i="3"/>
  <c r="G28" i="3"/>
  <c r="E28" i="3"/>
  <c r="C28" i="3"/>
  <c r="K27" i="3"/>
  <c r="I27" i="3"/>
  <c r="G27" i="3"/>
  <c r="E27" i="3"/>
  <c r="C27" i="3"/>
  <c r="K26" i="3"/>
  <c r="I26" i="3"/>
  <c r="G26" i="3"/>
  <c r="E26" i="3"/>
  <c r="C26" i="3"/>
  <c r="K25" i="3"/>
  <c r="I25" i="3"/>
  <c r="G25" i="3"/>
  <c r="E25" i="3"/>
  <c r="C25" i="3"/>
  <c r="K24" i="3"/>
  <c r="I24" i="3"/>
  <c r="G24" i="3"/>
  <c r="E24" i="3"/>
  <c r="C24" i="3"/>
  <c r="K23" i="3"/>
  <c r="I23" i="3"/>
  <c r="G23" i="3"/>
  <c r="E23" i="3"/>
  <c r="C23" i="3"/>
  <c r="K22" i="3"/>
  <c r="I22" i="3"/>
  <c r="G22" i="3"/>
  <c r="E22" i="3"/>
  <c r="C22" i="3"/>
  <c r="K21" i="3"/>
  <c r="I21" i="3"/>
  <c r="G21" i="3"/>
  <c r="E21" i="3"/>
  <c r="C21" i="3"/>
  <c r="K20" i="3"/>
  <c r="I20" i="3"/>
  <c r="G20" i="3"/>
  <c r="E20" i="3"/>
  <c r="C20" i="3"/>
  <c r="K19" i="3"/>
  <c r="I19" i="3"/>
  <c r="G19" i="3"/>
  <c r="E19" i="3"/>
  <c r="C19" i="3"/>
  <c r="K18" i="3"/>
  <c r="I18" i="3"/>
  <c r="G18" i="3"/>
  <c r="E18" i="3"/>
  <c r="C18" i="3"/>
  <c r="K17" i="3"/>
  <c r="I17" i="3"/>
  <c r="G17" i="3"/>
  <c r="E17" i="3"/>
  <c r="C17" i="3"/>
  <c r="K16" i="3"/>
  <c r="I16" i="3"/>
  <c r="G16" i="3"/>
  <c r="E16" i="3"/>
  <c r="C16" i="3"/>
  <c r="K15" i="3"/>
  <c r="I15" i="3"/>
  <c r="G15" i="3"/>
  <c r="E15" i="3"/>
  <c r="C15" i="3"/>
  <c r="K14" i="3"/>
  <c r="I14" i="3"/>
  <c r="G14" i="3"/>
  <c r="E14" i="3"/>
  <c r="C14" i="3"/>
  <c r="K13" i="3"/>
  <c r="I13" i="3"/>
  <c r="G13" i="3"/>
  <c r="E13" i="3"/>
  <c r="C13" i="3"/>
  <c r="K12" i="3"/>
  <c r="I12" i="3"/>
  <c r="G12" i="3"/>
  <c r="E12" i="3"/>
  <c r="C12" i="3"/>
  <c r="K11" i="3"/>
  <c r="I11" i="3"/>
  <c r="G11" i="3"/>
  <c r="E11" i="3"/>
  <c r="C11" i="3"/>
  <c r="K10" i="3"/>
  <c r="I10" i="3"/>
  <c r="G10" i="3"/>
  <c r="E10" i="3"/>
  <c r="C10" i="3"/>
  <c r="K9" i="3"/>
  <c r="I9" i="3"/>
  <c r="G9" i="3"/>
  <c r="E9" i="3"/>
  <c r="C9" i="3"/>
  <c r="L26" i="2"/>
  <c r="J26" i="2"/>
  <c r="H26" i="2"/>
  <c r="F26" i="2"/>
  <c r="D26" i="2"/>
  <c r="L25" i="2"/>
  <c r="J25" i="2"/>
  <c r="H25" i="2"/>
  <c r="F25" i="2"/>
  <c r="D25" i="2"/>
  <c r="L24" i="2"/>
  <c r="J24" i="2"/>
  <c r="H24" i="2"/>
  <c r="F24" i="2"/>
  <c r="D24" i="2"/>
  <c r="L23" i="2"/>
  <c r="J23" i="2"/>
  <c r="H23" i="2"/>
  <c r="F23" i="2"/>
  <c r="D23" i="2"/>
  <c r="L22" i="2"/>
  <c r="J22" i="2"/>
  <c r="H22" i="2"/>
  <c r="F22" i="2"/>
  <c r="D22" i="2"/>
  <c r="L21" i="2"/>
  <c r="J21" i="2"/>
  <c r="H21" i="2"/>
  <c r="F21" i="2"/>
  <c r="D21" i="2"/>
  <c r="L20" i="2"/>
  <c r="J20" i="2"/>
  <c r="H20" i="2"/>
  <c r="F20" i="2"/>
  <c r="D20" i="2"/>
  <c r="L19" i="2"/>
  <c r="J19" i="2"/>
  <c r="H19" i="2"/>
  <c r="F19" i="2"/>
  <c r="D19" i="2"/>
  <c r="L18" i="2"/>
  <c r="J18" i="2"/>
  <c r="H18" i="2"/>
  <c r="F18" i="2"/>
  <c r="D18" i="2"/>
  <c r="L17" i="2"/>
  <c r="J17" i="2"/>
  <c r="H17" i="2"/>
  <c r="F17" i="2"/>
  <c r="D17" i="2"/>
  <c r="L16" i="2"/>
  <c r="J16" i="2"/>
  <c r="H16" i="2"/>
  <c r="F16" i="2"/>
  <c r="D16" i="2"/>
  <c r="L15" i="2"/>
  <c r="J15" i="2"/>
  <c r="H15" i="2"/>
  <c r="F15" i="2"/>
  <c r="D15" i="2"/>
  <c r="L14" i="2"/>
  <c r="J14" i="2"/>
  <c r="H14" i="2"/>
  <c r="F14" i="2"/>
  <c r="D14" i="2"/>
  <c r="L13" i="2"/>
  <c r="J13" i="2"/>
  <c r="H13" i="2"/>
  <c r="F13" i="2"/>
  <c r="D13" i="2"/>
  <c r="L12" i="2"/>
  <c r="J12" i="2"/>
  <c r="H12" i="2"/>
  <c r="F12" i="2"/>
  <c r="D12" i="2"/>
  <c r="L11" i="2"/>
  <c r="J11" i="2"/>
  <c r="H11" i="2"/>
  <c r="F11" i="2"/>
  <c r="D11" i="2"/>
  <c r="L10" i="2"/>
  <c r="J10" i="2"/>
  <c r="H10" i="2"/>
  <c r="F10" i="2"/>
  <c r="D10" i="2"/>
  <c r="L9" i="2"/>
  <c r="J9" i="2"/>
  <c r="H9" i="2"/>
  <c r="F9" i="2"/>
  <c r="D9" i="2"/>
  <c r="L8" i="2"/>
  <c r="J8" i="2"/>
  <c r="H8" i="2"/>
  <c r="F8" i="2"/>
  <c r="D8" i="2"/>
  <c r="L7" i="2"/>
  <c r="J7" i="2"/>
  <c r="H7" i="2"/>
  <c r="F7" i="2"/>
  <c r="D7" i="2"/>
  <c r="K28" i="1"/>
  <c r="I28" i="1"/>
  <c r="G28" i="1"/>
  <c r="E28" i="1"/>
  <c r="C28" i="1"/>
  <c r="K27" i="1"/>
  <c r="I27" i="1"/>
  <c r="G27" i="1"/>
  <c r="E27" i="1"/>
  <c r="C27" i="1"/>
  <c r="K26" i="1"/>
  <c r="I26" i="1"/>
  <c r="G26" i="1"/>
  <c r="E26" i="1"/>
  <c r="C26" i="1"/>
  <c r="K25" i="1"/>
  <c r="I25" i="1"/>
  <c r="G25" i="1"/>
  <c r="E25" i="1"/>
  <c r="C25" i="1"/>
  <c r="K24" i="1"/>
  <c r="I24" i="1"/>
  <c r="G24" i="1"/>
  <c r="E24" i="1"/>
  <c r="C24" i="1"/>
  <c r="K23" i="1"/>
  <c r="I23" i="1"/>
  <c r="G23" i="1"/>
  <c r="E23" i="1"/>
  <c r="C23" i="1"/>
  <c r="K22" i="1"/>
  <c r="I22" i="1"/>
  <c r="G22" i="1"/>
  <c r="E22" i="1"/>
  <c r="C22" i="1"/>
  <c r="K21" i="1"/>
  <c r="I21" i="1"/>
  <c r="G21" i="1"/>
  <c r="E21" i="1"/>
  <c r="C21" i="1"/>
  <c r="K20" i="1"/>
  <c r="I20" i="1"/>
  <c r="G20" i="1"/>
  <c r="E20" i="1"/>
  <c r="C20" i="1"/>
  <c r="K19" i="1"/>
  <c r="I19" i="1"/>
  <c r="G19" i="1"/>
  <c r="E19" i="1"/>
  <c r="C19" i="1"/>
  <c r="K18" i="1"/>
  <c r="I18" i="1"/>
  <c r="G18" i="1"/>
  <c r="E18" i="1"/>
  <c r="C18" i="1"/>
  <c r="K17" i="1"/>
  <c r="I17" i="1"/>
  <c r="G17" i="1"/>
  <c r="E17" i="1"/>
  <c r="C17" i="1"/>
  <c r="K16" i="1"/>
  <c r="I16" i="1"/>
  <c r="G16" i="1"/>
  <c r="E16" i="1"/>
  <c r="C16" i="1"/>
  <c r="K15" i="1"/>
  <c r="I15" i="1"/>
  <c r="G15" i="1"/>
  <c r="E15" i="1"/>
  <c r="C15" i="1"/>
  <c r="K14" i="1"/>
  <c r="I14" i="1"/>
  <c r="G14" i="1"/>
  <c r="E14" i="1"/>
  <c r="C14" i="1"/>
  <c r="K13" i="1"/>
  <c r="I13" i="1"/>
  <c r="G13" i="1"/>
  <c r="E13" i="1"/>
  <c r="C13" i="1"/>
  <c r="K12" i="1"/>
  <c r="I12" i="1"/>
  <c r="G12" i="1"/>
  <c r="E12" i="1"/>
  <c r="C12" i="1"/>
  <c r="K11" i="1"/>
  <c r="I11" i="1"/>
  <c r="G11" i="1"/>
  <c r="E11" i="1"/>
  <c r="C11" i="1"/>
  <c r="K10" i="1"/>
  <c r="I10" i="1"/>
  <c r="G10" i="1"/>
  <c r="E10" i="1"/>
  <c r="C10" i="1"/>
  <c r="K9" i="1"/>
  <c r="I9" i="1"/>
  <c r="G9" i="1"/>
  <c r="E9" i="1"/>
  <c r="C9" i="1"/>
</calcChain>
</file>

<file path=xl/sharedStrings.xml><?xml version="1.0" encoding="utf-8"?>
<sst xmlns="http://schemas.openxmlformats.org/spreadsheetml/2006/main" count="65" uniqueCount="20">
  <si>
    <t xml:space="preserve">Bartlett City Schools </t>
  </si>
  <si>
    <t xml:space="preserve"> 10 Month TEACHER -  ELEM/MID-COUNSELOR SALARY SCHEDULE</t>
  </si>
  <si>
    <t>STEP</t>
  </si>
  <si>
    <t>B.A.</t>
  </si>
  <si>
    <t>M.A.</t>
  </si>
  <si>
    <t>M.A. + 45</t>
  </si>
  <si>
    <t>EDS</t>
  </si>
  <si>
    <t>EDD</t>
  </si>
  <si>
    <t>ANNUAL</t>
  </si>
  <si>
    <t>SEMI-MO</t>
  </si>
  <si>
    <t>11 MONTH</t>
  </si>
  <si>
    <t>12 month Teacher Schedule</t>
  </si>
  <si>
    <t>2021-2022</t>
  </si>
  <si>
    <t>Final Copy 4/26/2021</t>
  </si>
  <si>
    <t>All Teachers will follow this  salary schedule as of  7/1/2021</t>
  </si>
  <si>
    <t>FINAL COPY: 4/26/2021</t>
  </si>
  <si>
    <t>ALL GUIDANCE COUNSELORS/TEACHERS will follow this  salary schedule as of 7/1/2021</t>
  </si>
  <si>
    <r>
      <t>BCS honors up to 10 years (Step 9) of verified, </t>
    </r>
    <r>
      <rPr>
        <u/>
        <sz val="14"/>
        <color rgb="FF616C6F"/>
        <rFont val="Arial"/>
        <family val="2"/>
      </rPr>
      <t>public school</t>
    </r>
    <r>
      <rPr>
        <sz val="14"/>
        <color rgb="FF616C6F"/>
        <rFont val="Arial"/>
        <family val="2"/>
      </rPr>
      <t> experience to determine teacher salaries. </t>
    </r>
  </si>
  <si>
    <t>All Teachers will follow this  salary schedule as of  7/1/2021.</t>
  </si>
  <si>
    <r>
      <rPr>
        <sz val="14"/>
        <color theme="1"/>
        <rFont val="Calibri (Body)"/>
      </rPr>
      <t xml:space="preserve">BCS honors up to 10 years (Step 9) of verified, </t>
    </r>
    <r>
      <rPr>
        <u/>
        <sz val="14"/>
        <color theme="1"/>
        <rFont val="Calibri (Body)"/>
      </rPr>
      <t>public</t>
    </r>
    <r>
      <rPr>
        <sz val="14"/>
        <color theme="1"/>
        <rFont val="Calibri (Body)"/>
      </rPr>
      <t xml:space="preserve"> school expereince to deterimine teacher salaries.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</si>
</sst>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#,##0.0"/>
  </numFmts>
  <fonts count="10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4"/>
      <color rgb="FF616C6F"/>
      <name val="Arial"/>
      <family val="2"/>
    </font>
    <font>
      <u/>
      <sz val="14"/>
      <color rgb="FF616C6F"/>
      <name val="Arial"/>
      <family val="2"/>
    </font>
    <font>
      <b/>
      <sz val="14"/>
      <color theme="1"/>
      <name val="Calibri"/>
      <family val="2"/>
      <scheme val="minor"/>
    </font>
    <font>
      <sz val="14"/>
      <color theme="1"/>
      <name val="Calibri (Body)"/>
    </font>
    <font>
      <u/>
      <sz val="14"/>
      <color theme="1"/>
      <name val="Calibri (Body)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28">
    <xf numFmtId="0" fontId="0" fillId="0" borderId="0" xfId="0"/>
    <xf numFmtId="0" fontId="2" fillId="0" borderId="1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3" fontId="3" fillId="0" borderId="5" xfId="0" applyNumberFormat="1" applyFont="1" applyBorder="1" applyAlignment="1">
      <alignment horizontal="center"/>
    </xf>
    <xf numFmtId="4" fontId="3" fillId="0" borderId="5" xfId="0" applyNumberFormat="1" applyFont="1" applyBorder="1" applyAlignment="1">
      <alignment horizontal="center"/>
    </xf>
    <xf numFmtId="3" fontId="4" fillId="0" borderId="5" xfId="0" applyNumberFormat="1" applyFont="1" applyBorder="1" applyAlignment="1">
      <alignment horizontal="center"/>
    </xf>
    <xf numFmtId="3" fontId="0" fillId="0" borderId="5" xfId="0" applyNumberFormat="1" applyBorder="1"/>
    <xf numFmtId="4" fontId="0" fillId="0" borderId="5" xfId="0" applyNumberFormat="1" applyBorder="1"/>
    <xf numFmtId="3" fontId="4" fillId="2" borderId="5" xfId="0" applyNumberFormat="1" applyFont="1" applyFill="1" applyBorder="1" applyAlignment="1">
      <alignment horizontal="center"/>
    </xf>
    <xf numFmtId="37" fontId="1" fillId="0" borderId="0" xfId="1" applyNumberFormat="1" applyFont="1" applyBorder="1" applyAlignment="1">
      <alignment horizontal="left"/>
    </xf>
    <xf numFmtId="0" fontId="2" fillId="0" borderId="0" xfId="0" applyFont="1" applyAlignment="1">
      <alignment horizontal="center"/>
    </xf>
    <xf numFmtId="0" fontId="2" fillId="0" borderId="2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3" fillId="0" borderId="0" xfId="0" applyFont="1" applyAlignment="1">
      <alignment horizontal="center"/>
    </xf>
    <xf numFmtId="0" fontId="3" fillId="0" borderId="5" xfId="0" applyFont="1" applyBorder="1" applyAlignment="1">
      <alignment horizontal="center"/>
    </xf>
    <xf numFmtId="43" fontId="4" fillId="0" borderId="0" xfId="0" applyNumberFormat="1" applyFont="1"/>
    <xf numFmtId="0" fontId="4" fillId="0" borderId="5" xfId="0" applyFont="1" applyBorder="1" applyAlignment="1">
      <alignment horizontal="center"/>
    </xf>
    <xf numFmtId="3" fontId="0" fillId="0" borderId="5" xfId="0" applyNumberFormat="1" applyBorder="1" applyAlignment="1">
      <alignment horizontal="center"/>
    </xf>
    <xf numFmtId="4" fontId="0" fillId="0" borderId="5" xfId="0" applyNumberFormat="1" applyBorder="1" applyAlignment="1">
      <alignment horizontal="center"/>
    </xf>
    <xf numFmtId="0" fontId="4" fillId="2" borderId="5" xfId="0" applyFont="1" applyFill="1" applyBorder="1" applyAlignment="1">
      <alignment horizontal="center"/>
    </xf>
    <xf numFmtId="164" fontId="0" fillId="0" borderId="5" xfId="0" applyNumberFormat="1" applyBorder="1" applyAlignment="1">
      <alignment horizontal="center"/>
    </xf>
    <xf numFmtId="3" fontId="0" fillId="0" borderId="0" xfId="0" applyNumberFormat="1"/>
    <xf numFmtId="0" fontId="2" fillId="0" borderId="0" xfId="0" applyFont="1" applyAlignment="1">
      <alignment horizontal="center"/>
    </xf>
    <xf numFmtId="3" fontId="2" fillId="0" borderId="2" xfId="0" applyNumberFormat="1" applyFont="1" applyBorder="1" applyAlignment="1">
      <alignment horizontal="center"/>
    </xf>
    <xf numFmtId="3" fontId="2" fillId="0" borderId="3" xfId="0" applyNumberFormat="1" applyFont="1" applyBorder="1" applyAlignment="1">
      <alignment horizontal="center"/>
    </xf>
    <xf numFmtId="0" fontId="5" fillId="0" borderId="0" xfId="0" applyFont="1"/>
    <xf numFmtId="0" fontId="7" fillId="0" borderId="0" xfId="0" applyFont="1" applyAlignment="1">
      <alignment horizontal="center"/>
    </xf>
    <xf numFmtId="0" fontId="8" fillId="0" borderId="0" xfId="0" applyFont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5A6F4F-7190-584C-900C-FB6BC6BB294E}">
  <dimension ref="A2:K32"/>
  <sheetViews>
    <sheetView tabSelected="1" workbookViewId="0">
      <selection activeCell="E30" sqref="E30"/>
    </sheetView>
  </sheetViews>
  <sheetFormatPr baseColWidth="10" defaultRowHeight="16" x14ac:dyDescent="0.2"/>
  <sheetData>
    <row r="2" spans="1:11" x14ac:dyDescent="0.2">
      <c r="A2" s="22" t="s">
        <v>0</v>
      </c>
      <c r="B2" s="22"/>
      <c r="C2" s="22"/>
      <c r="D2" s="22"/>
      <c r="E2" s="22"/>
      <c r="F2" s="22"/>
      <c r="G2" s="22"/>
      <c r="H2" s="22"/>
      <c r="I2" s="22"/>
      <c r="J2" s="22"/>
      <c r="K2" s="22"/>
    </row>
    <row r="3" spans="1:11" ht="19" x14ac:dyDescent="0.25">
      <c r="A3" s="26" t="s">
        <v>1</v>
      </c>
      <c r="B3" s="26"/>
      <c r="C3" s="26"/>
      <c r="D3" s="26"/>
      <c r="E3" s="26"/>
      <c r="F3" s="26"/>
      <c r="G3" s="26"/>
      <c r="H3" s="26"/>
      <c r="I3" s="26"/>
      <c r="J3" s="26"/>
      <c r="K3" s="26"/>
    </row>
    <row r="4" spans="1:11" x14ac:dyDescent="0.2">
      <c r="A4" s="22" t="s">
        <v>12</v>
      </c>
      <c r="B4" s="22"/>
      <c r="C4" s="22"/>
      <c r="D4" s="22"/>
      <c r="E4" s="22"/>
      <c r="F4" s="22"/>
      <c r="G4" s="22"/>
      <c r="H4" s="22"/>
      <c r="I4" s="22"/>
      <c r="J4" s="22"/>
      <c r="K4" s="22"/>
    </row>
    <row r="5" spans="1:11" x14ac:dyDescent="0.2">
      <c r="A5" s="22" t="s">
        <v>18</v>
      </c>
      <c r="B5" s="22"/>
      <c r="C5" s="22"/>
      <c r="D5" s="22"/>
      <c r="E5" s="22"/>
      <c r="F5" s="22"/>
      <c r="G5" s="22"/>
      <c r="H5" s="22"/>
      <c r="I5" s="22"/>
      <c r="J5" s="22"/>
      <c r="K5" s="22"/>
    </row>
    <row r="7" spans="1:11" x14ac:dyDescent="0.2">
      <c r="A7" s="1" t="s">
        <v>2</v>
      </c>
      <c r="B7" s="23" t="s">
        <v>3</v>
      </c>
      <c r="C7" s="24"/>
      <c r="D7" s="23" t="s">
        <v>4</v>
      </c>
      <c r="E7" s="24"/>
      <c r="F7" s="23" t="s">
        <v>5</v>
      </c>
      <c r="G7" s="24"/>
      <c r="H7" s="23" t="s">
        <v>6</v>
      </c>
      <c r="I7" s="24"/>
      <c r="J7" s="23" t="s">
        <v>7</v>
      </c>
      <c r="K7" s="24"/>
    </row>
    <row r="8" spans="1:11" x14ac:dyDescent="0.2">
      <c r="A8" s="2"/>
      <c r="B8" s="3" t="s">
        <v>8</v>
      </c>
      <c r="C8" s="4" t="s">
        <v>9</v>
      </c>
      <c r="D8" s="3" t="s">
        <v>8</v>
      </c>
      <c r="E8" s="4" t="s">
        <v>9</v>
      </c>
      <c r="F8" s="3" t="s">
        <v>8</v>
      </c>
      <c r="G8" s="4" t="s">
        <v>9</v>
      </c>
      <c r="H8" s="3" t="s">
        <v>8</v>
      </c>
      <c r="I8" s="4" t="s">
        <v>9</v>
      </c>
      <c r="J8" s="3" t="s">
        <v>8</v>
      </c>
      <c r="K8" s="4" t="s">
        <v>9</v>
      </c>
    </row>
    <row r="9" spans="1:11" x14ac:dyDescent="0.2">
      <c r="A9" s="5">
        <v>0</v>
      </c>
      <c r="B9" s="6">
        <v>45155</v>
      </c>
      <c r="C9" s="7">
        <f>(B9/24)</f>
        <v>1881.4583333333333</v>
      </c>
      <c r="D9" s="6">
        <v>48818</v>
      </c>
      <c r="E9" s="7">
        <f>(D9/24)</f>
        <v>2034.0833333333333</v>
      </c>
      <c r="F9" s="6">
        <v>52604</v>
      </c>
      <c r="G9" s="7">
        <f>(F9/24)</f>
        <v>2191.8333333333335</v>
      </c>
      <c r="H9" s="6">
        <v>53345</v>
      </c>
      <c r="I9" s="7">
        <f>(H9/24)</f>
        <v>2222.7083333333335</v>
      </c>
      <c r="J9" s="6">
        <v>55305</v>
      </c>
      <c r="K9" s="7">
        <f>(J9/24)</f>
        <v>2304.375</v>
      </c>
    </row>
    <row r="10" spans="1:11" x14ac:dyDescent="0.2">
      <c r="A10" s="5">
        <v>1</v>
      </c>
      <c r="B10" s="6">
        <v>46075</v>
      </c>
      <c r="C10" s="7">
        <f t="shared" ref="C10:C28" si="0">(B10/24)</f>
        <v>1919.7916666666667</v>
      </c>
      <c r="D10" s="6">
        <v>49957</v>
      </c>
      <c r="E10" s="7">
        <f t="shared" ref="E10:E28" si="1">(D10/24)</f>
        <v>2081.5416666666665</v>
      </c>
      <c r="F10" s="6">
        <v>53925</v>
      </c>
      <c r="G10" s="7">
        <f t="shared" ref="G10:G28" si="2">(F10/24)</f>
        <v>2246.875</v>
      </c>
      <c r="H10" s="6">
        <v>54677</v>
      </c>
      <c r="I10" s="7">
        <f t="shared" ref="I10:I28" si="3">(H10/24)</f>
        <v>2278.2083333333335</v>
      </c>
      <c r="J10" s="6">
        <v>56569</v>
      </c>
      <c r="K10" s="7">
        <f t="shared" ref="K10:K28" si="4">(J10/24)</f>
        <v>2357.0416666666665</v>
      </c>
    </row>
    <row r="11" spans="1:11" x14ac:dyDescent="0.2">
      <c r="A11" s="5">
        <v>2</v>
      </c>
      <c r="B11" s="6">
        <v>47197</v>
      </c>
      <c r="C11" s="7">
        <f t="shared" si="0"/>
        <v>1966.5416666666667</v>
      </c>
      <c r="D11" s="6">
        <v>51052</v>
      </c>
      <c r="E11" s="7">
        <f t="shared" si="1"/>
        <v>2127.1666666666665</v>
      </c>
      <c r="F11" s="6">
        <v>55185</v>
      </c>
      <c r="G11" s="7">
        <f t="shared" si="2"/>
        <v>2299.375</v>
      </c>
      <c r="H11" s="6">
        <v>55933</v>
      </c>
      <c r="I11" s="7">
        <f t="shared" si="3"/>
        <v>2330.5416666666665</v>
      </c>
      <c r="J11" s="6">
        <v>57825</v>
      </c>
      <c r="K11" s="7">
        <f t="shared" si="4"/>
        <v>2409.375</v>
      </c>
    </row>
    <row r="12" spans="1:11" x14ac:dyDescent="0.2">
      <c r="A12" s="5">
        <v>3</v>
      </c>
      <c r="B12" s="6">
        <v>48246</v>
      </c>
      <c r="C12" s="7">
        <f t="shared" si="0"/>
        <v>2010.25</v>
      </c>
      <c r="D12" s="6">
        <v>52105</v>
      </c>
      <c r="E12" s="7">
        <f t="shared" si="1"/>
        <v>2171.0416666666665</v>
      </c>
      <c r="F12" s="6">
        <v>56416</v>
      </c>
      <c r="G12" s="7">
        <f t="shared" si="2"/>
        <v>2350.6666666666665</v>
      </c>
      <c r="H12" s="6">
        <v>57168</v>
      </c>
      <c r="I12" s="7">
        <f t="shared" si="3"/>
        <v>2382</v>
      </c>
      <c r="J12" s="6">
        <v>59055</v>
      </c>
      <c r="K12" s="7">
        <f t="shared" si="4"/>
        <v>2460.625</v>
      </c>
    </row>
    <row r="13" spans="1:11" x14ac:dyDescent="0.2">
      <c r="A13" s="5">
        <v>4</v>
      </c>
      <c r="B13" s="6">
        <v>49225</v>
      </c>
      <c r="C13" s="7">
        <f t="shared" si="0"/>
        <v>2051.0416666666665</v>
      </c>
      <c r="D13" s="6">
        <v>53175</v>
      </c>
      <c r="E13" s="7">
        <f t="shared" si="1"/>
        <v>2215.625</v>
      </c>
      <c r="F13" s="6">
        <v>57765</v>
      </c>
      <c r="G13" s="7">
        <f t="shared" si="2"/>
        <v>2406.875</v>
      </c>
      <c r="H13" s="6">
        <v>58520</v>
      </c>
      <c r="I13" s="7">
        <f t="shared" si="3"/>
        <v>2438.3333333333335</v>
      </c>
      <c r="J13" s="6">
        <v>60468</v>
      </c>
      <c r="K13" s="7">
        <f t="shared" si="4"/>
        <v>2519.5</v>
      </c>
    </row>
    <row r="14" spans="1:11" x14ac:dyDescent="0.2">
      <c r="A14" s="5">
        <v>5</v>
      </c>
      <c r="B14" s="6">
        <v>50095</v>
      </c>
      <c r="C14" s="7">
        <f t="shared" si="0"/>
        <v>2087.2916666666665</v>
      </c>
      <c r="D14" s="6">
        <v>54084</v>
      </c>
      <c r="E14" s="7">
        <f t="shared" si="1"/>
        <v>2253.5</v>
      </c>
      <c r="F14" s="6">
        <v>58832</v>
      </c>
      <c r="G14" s="7">
        <f t="shared" si="2"/>
        <v>2451.3333333333335</v>
      </c>
      <c r="H14" s="6">
        <v>59552</v>
      </c>
      <c r="I14" s="7">
        <f t="shared" si="3"/>
        <v>2481.3333333333335</v>
      </c>
      <c r="J14" s="6">
        <v>61527</v>
      </c>
      <c r="K14" s="7">
        <f t="shared" si="4"/>
        <v>2563.625</v>
      </c>
    </row>
    <row r="15" spans="1:11" x14ac:dyDescent="0.2">
      <c r="A15" s="5">
        <v>6</v>
      </c>
      <c r="B15" s="6">
        <v>51323</v>
      </c>
      <c r="C15" s="7">
        <f t="shared" si="0"/>
        <v>2138.4583333333335</v>
      </c>
      <c r="D15" s="6">
        <v>55389</v>
      </c>
      <c r="E15" s="7">
        <f t="shared" si="1"/>
        <v>2307.875</v>
      </c>
      <c r="F15" s="6">
        <v>60342</v>
      </c>
      <c r="G15" s="7">
        <f t="shared" si="2"/>
        <v>2514.25</v>
      </c>
      <c r="H15" s="6">
        <v>61069</v>
      </c>
      <c r="I15" s="7">
        <f t="shared" si="3"/>
        <v>2544.5416666666665</v>
      </c>
      <c r="J15" s="6">
        <v>63042</v>
      </c>
      <c r="K15" s="7">
        <f t="shared" si="4"/>
        <v>2626.75</v>
      </c>
    </row>
    <row r="16" spans="1:11" x14ac:dyDescent="0.2">
      <c r="A16" s="5">
        <v>7</v>
      </c>
      <c r="B16" s="6">
        <v>51952</v>
      </c>
      <c r="C16" s="7">
        <f t="shared" si="0"/>
        <v>2164.6666666666665</v>
      </c>
      <c r="D16" s="6">
        <v>56056</v>
      </c>
      <c r="E16" s="7">
        <f t="shared" si="1"/>
        <v>2335.6666666666665</v>
      </c>
      <c r="F16" s="6">
        <v>61353</v>
      </c>
      <c r="G16" s="7">
        <f t="shared" si="2"/>
        <v>2556.375</v>
      </c>
      <c r="H16" s="6">
        <v>62115</v>
      </c>
      <c r="I16" s="7">
        <f t="shared" si="3"/>
        <v>2588.125</v>
      </c>
      <c r="J16" s="6">
        <v>64009</v>
      </c>
      <c r="K16" s="7">
        <f t="shared" si="4"/>
        <v>2667.0416666666665</v>
      </c>
    </row>
    <row r="17" spans="1:11" x14ac:dyDescent="0.2">
      <c r="A17" s="5">
        <v>8</v>
      </c>
      <c r="B17" s="6">
        <v>52977</v>
      </c>
      <c r="C17" s="7">
        <f t="shared" si="0"/>
        <v>2207.375</v>
      </c>
      <c r="D17" s="6">
        <v>57173</v>
      </c>
      <c r="E17" s="7">
        <f t="shared" si="1"/>
        <v>2382.2083333333335</v>
      </c>
      <c r="F17" s="6">
        <v>62561</v>
      </c>
      <c r="G17" s="7">
        <f t="shared" si="2"/>
        <v>2606.7083333333335</v>
      </c>
      <c r="H17" s="6">
        <v>63345</v>
      </c>
      <c r="I17" s="7">
        <f t="shared" si="3"/>
        <v>2639.375</v>
      </c>
      <c r="J17" s="6">
        <v>65214</v>
      </c>
      <c r="K17" s="7">
        <f t="shared" si="4"/>
        <v>2717.25</v>
      </c>
    </row>
    <row r="18" spans="1:11" x14ac:dyDescent="0.2">
      <c r="A18" s="5">
        <v>9</v>
      </c>
      <c r="B18" s="6">
        <v>53462</v>
      </c>
      <c r="C18" s="7">
        <f t="shared" si="0"/>
        <v>2227.5833333333335</v>
      </c>
      <c r="D18" s="6">
        <v>57704</v>
      </c>
      <c r="E18" s="7">
        <f t="shared" si="1"/>
        <v>2404.3333333333335</v>
      </c>
      <c r="F18" s="6">
        <v>63321</v>
      </c>
      <c r="G18" s="7">
        <f t="shared" si="2"/>
        <v>2638.375</v>
      </c>
      <c r="H18" s="6">
        <v>64092</v>
      </c>
      <c r="I18" s="7">
        <f t="shared" si="3"/>
        <v>2670.5</v>
      </c>
      <c r="J18" s="6">
        <v>66430</v>
      </c>
      <c r="K18" s="7">
        <f t="shared" si="4"/>
        <v>2767.9166666666665</v>
      </c>
    </row>
    <row r="19" spans="1:11" x14ac:dyDescent="0.2">
      <c r="A19" s="5">
        <v>10</v>
      </c>
      <c r="B19" s="6">
        <v>54533</v>
      </c>
      <c r="C19" s="7">
        <f t="shared" si="0"/>
        <v>2272.2083333333335</v>
      </c>
      <c r="D19" s="6">
        <v>58869</v>
      </c>
      <c r="E19" s="7">
        <f t="shared" si="1"/>
        <v>2452.875</v>
      </c>
      <c r="F19" s="6">
        <v>64620</v>
      </c>
      <c r="G19" s="7">
        <f t="shared" si="2"/>
        <v>2692.5</v>
      </c>
      <c r="H19" s="6">
        <v>65363</v>
      </c>
      <c r="I19" s="7">
        <f t="shared" si="3"/>
        <v>2723.4583333333335</v>
      </c>
      <c r="J19" s="6">
        <v>67292</v>
      </c>
      <c r="K19" s="7">
        <f t="shared" si="4"/>
        <v>2803.8333333333335</v>
      </c>
    </row>
    <row r="20" spans="1:11" x14ac:dyDescent="0.2">
      <c r="A20" s="5">
        <v>11</v>
      </c>
      <c r="B20" s="6">
        <v>56015</v>
      </c>
      <c r="C20" s="7">
        <f t="shared" si="0"/>
        <v>2333.9583333333335</v>
      </c>
      <c r="D20" s="6">
        <v>60443</v>
      </c>
      <c r="E20" s="7">
        <f t="shared" si="1"/>
        <v>2518.4583333333335</v>
      </c>
      <c r="F20" s="6">
        <v>66562</v>
      </c>
      <c r="G20" s="7">
        <f t="shared" si="2"/>
        <v>2773.4166666666665</v>
      </c>
      <c r="H20" s="6">
        <v>67269</v>
      </c>
      <c r="I20" s="7">
        <f t="shared" si="3"/>
        <v>2802.875</v>
      </c>
      <c r="J20" s="6">
        <v>69248</v>
      </c>
      <c r="K20" s="7">
        <f t="shared" si="4"/>
        <v>2885.3333333333335</v>
      </c>
    </row>
    <row r="21" spans="1:11" x14ac:dyDescent="0.2">
      <c r="A21" s="5">
        <v>12</v>
      </c>
      <c r="B21" s="6">
        <v>57364</v>
      </c>
      <c r="C21" s="7">
        <f t="shared" si="0"/>
        <v>2390.1666666666665</v>
      </c>
      <c r="D21" s="6">
        <v>61787</v>
      </c>
      <c r="E21" s="7">
        <f t="shared" si="1"/>
        <v>2574.4583333333335</v>
      </c>
      <c r="F21" s="6">
        <v>68024</v>
      </c>
      <c r="G21" s="7">
        <f t="shared" si="2"/>
        <v>2834.3333333333335</v>
      </c>
      <c r="H21" s="6">
        <v>68803</v>
      </c>
      <c r="I21" s="7">
        <f t="shared" si="3"/>
        <v>2866.7916666666665</v>
      </c>
      <c r="J21" s="6">
        <v>70683</v>
      </c>
      <c r="K21" s="7">
        <f t="shared" si="4"/>
        <v>2945.125</v>
      </c>
    </row>
    <row r="22" spans="1:11" x14ac:dyDescent="0.2">
      <c r="A22" s="5">
        <v>13</v>
      </c>
      <c r="B22" s="6">
        <v>58731</v>
      </c>
      <c r="C22" s="7">
        <f t="shared" si="0"/>
        <v>2447.125</v>
      </c>
      <c r="D22" s="6">
        <v>63113</v>
      </c>
      <c r="E22" s="7">
        <f t="shared" si="1"/>
        <v>2629.7083333333335</v>
      </c>
      <c r="F22" s="6">
        <v>69639</v>
      </c>
      <c r="G22" s="7">
        <f t="shared" si="2"/>
        <v>2901.625</v>
      </c>
      <c r="H22" s="6">
        <v>70378</v>
      </c>
      <c r="I22" s="7">
        <f t="shared" si="3"/>
        <v>2932.4166666666665</v>
      </c>
      <c r="J22" s="6">
        <v>72358</v>
      </c>
      <c r="K22" s="7">
        <f t="shared" si="4"/>
        <v>3014.9166666666665</v>
      </c>
    </row>
    <row r="23" spans="1:11" x14ac:dyDescent="0.2">
      <c r="A23" s="5">
        <v>14</v>
      </c>
      <c r="B23" s="6">
        <v>60009</v>
      </c>
      <c r="C23" s="7">
        <f t="shared" si="0"/>
        <v>2500.375</v>
      </c>
      <c r="D23" s="6">
        <v>64530</v>
      </c>
      <c r="E23" s="7">
        <f t="shared" si="1"/>
        <v>2688.75</v>
      </c>
      <c r="F23" s="6">
        <v>71083</v>
      </c>
      <c r="G23" s="7">
        <f t="shared" si="2"/>
        <v>2961.7916666666665</v>
      </c>
      <c r="H23" s="6">
        <v>71864</v>
      </c>
      <c r="I23" s="7">
        <f t="shared" si="3"/>
        <v>2994.3333333333335</v>
      </c>
      <c r="J23" s="6">
        <v>73732</v>
      </c>
      <c r="K23" s="7">
        <f t="shared" si="4"/>
        <v>3072.1666666666665</v>
      </c>
    </row>
    <row r="24" spans="1:11" x14ac:dyDescent="0.2">
      <c r="A24" s="5">
        <v>15</v>
      </c>
      <c r="B24" s="6">
        <v>61382</v>
      </c>
      <c r="C24" s="7">
        <f t="shared" si="0"/>
        <v>2557.5833333333335</v>
      </c>
      <c r="D24" s="6">
        <v>65830</v>
      </c>
      <c r="E24" s="7">
        <f t="shared" si="1"/>
        <v>2742.9166666666665</v>
      </c>
      <c r="F24" s="6">
        <v>72655</v>
      </c>
      <c r="G24" s="7">
        <f t="shared" si="2"/>
        <v>3027.2916666666665</v>
      </c>
      <c r="H24" s="6">
        <v>73425</v>
      </c>
      <c r="I24" s="7">
        <f t="shared" si="3"/>
        <v>3059.375</v>
      </c>
      <c r="J24" s="6">
        <v>75337</v>
      </c>
      <c r="K24" s="7">
        <f t="shared" si="4"/>
        <v>3139.0416666666665</v>
      </c>
    </row>
    <row r="25" spans="1:11" x14ac:dyDescent="0.2">
      <c r="A25" s="5">
        <v>16</v>
      </c>
      <c r="B25" s="6">
        <v>61994</v>
      </c>
      <c r="C25" s="7">
        <f t="shared" si="0"/>
        <v>2583.0833333333335</v>
      </c>
      <c r="D25" s="6">
        <v>66443</v>
      </c>
      <c r="E25" s="7">
        <f t="shared" si="1"/>
        <v>2768.4583333333335</v>
      </c>
      <c r="F25" s="6">
        <v>73268</v>
      </c>
      <c r="G25" s="7">
        <f t="shared" si="2"/>
        <v>3052.8333333333335</v>
      </c>
      <c r="H25" s="6">
        <v>74038</v>
      </c>
      <c r="I25" s="7">
        <f t="shared" si="3"/>
        <v>3084.9166666666665</v>
      </c>
      <c r="J25" s="6">
        <v>75951</v>
      </c>
      <c r="K25" s="7">
        <f t="shared" si="4"/>
        <v>3164.625</v>
      </c>
    </row>
    <row r="26" spans="1:11" x14ac:dyDescent="0.2">
      <c r="A26" s="5">
        <v>17</v>
      </c>
      <c r="B26" s="6">
        <v>62608</v>
      </c>
      <c r="C26" s="7">
        <f t="shared" si="0"/>
        <v>2608.6666666666665</v>
      </c>
      <c r="D26" s="6">
        <v>67057</v>
      </c>
      <c r="E26" s="7">
        <f t="shared" si="1"/>
        <v>2794.0416666666665</v>
      </c>
      <c r="F26" s="6">
        <v>73882</v>
      </c>
      <c r="G26" s="7">
        <f t="shared" si="2"/>
        <v>3078.4166666666665</v>
      </c>
      <c r="H26" s="6">
        <v>74651</v>
      </c>
      <c r="I26" s="7">
        <f t="shared" si="3"/>
        <v>3110.4583333333335</v>
      </c>
      <c r="J26" s="6">
        <v>76564</v>
      </c>
      <c r="K26" s="7">
        <f t="shared" si="4"/>
        <v>3190.1666666666665</v>
      </c>
    </row>
    <row r="27" spans="1:11" x14ac:dyDescent="0.2">
      <c r="A27" s="5">
        <v>18</v>
      </c>
      <c r="B27" s="6">
        <v>63470</v>
      </c>
      <c r="C27" s="7">
        <f t="shared" si="0"/>
        <v>2644.5833333333335</v>
      </c>
      <c r="D27" s="6">
        <v>68011</v>
      </c>
      <c r="E27" s="7">
        <f t="shared" si="1"/>
        <v>2833.7916666666665</v>
      </c>
      <c r="F27" s="6">
        <v>74973</v>
      </c>
      <c r="G27" s="7">
        <f t="shared" si="2"/>
        <v>3123.875</v>
      </c>
      <c r="H27" s="6">
        <v>75759</v>
      </c>
      <c r="I27" s="7">
        <f t="shared" si="3"/>
        <v>3156.625</v>
      </c>
      <c r="J27" s="6">
        <v>77709</v>
      </c>
      <c r="K27" s="7">
        <f t="shared" si="4"/>
        <v>3237.875</v>
      </c>
    </row>
    <row r="28" spans="1:11" x14ac:dyDescent="0.2">
      <c r="A28" s="8">
        <v>19</v>
      </c>
      <c r="B28" s="6">
        <v>64738</v>
      </c>
      <c r="C28" s="7">
        <f t="shared" si="0"/>
        <v>2697.4166666666665</v>
      </c>
      <c r="D28" s="6">
        <v>69371</v>
      </c>
      <c r="E28" s="7">
        <f t="shared" si="1"/>
        <v>2890.4583333333335</v>
      </c>
      <c r="F28" s="6">
        <v>76472</v>
      </c>
      <c r="G28" s="7">
        <f t="shared" si="2"/>
        <v>3186.3333333333335</v>
      </c>
      <c r="H28" s="6">
        <v>77274</v>
      </c>
      <c r="I28" s="7">
        <f t="shared" si="3"/>
        <v>3219.75</v>
      </c>
      <c r="J28" s="6">
        <v>79263</v>
      </c>
      <c r="K28" s="7">
        <f t="shared" si="4"/>
        <v>3302.625</v>
      </c>
    </row>
    <row r="30" spans="1:11" ht="18" x14ac:dyDescent="0.2">
      <c r="A30" t="s">
        <v>13</v>
      </c>
      <c r="B30" s="9"/>
      <c r="D30" s="25"/>
    </row>
    <row r="31" spans="1:11" ht="18" x14ac:dyDescent="0.2">
      <c r="B31" s="25"/>
      <c r="C31" s="25"/>
    </row>
    <row r="32" spans="1:11" ht="19" x14ac:dyDescent="0.25">
      <c r="B32" s="27" t="s">
        <v>19</v>
      </c>
    </row>
  </sheetData>
  <mergeCells count="9">
    <mergeCell ref="A2:K2"/>
    <mergeCell ref="A3:K3"/>
    <mergeCell ref="A4:K4"/>
    <mergeCell ref="A5:K5"/>
    <mergeCell ref="B7:C7"/>
    <mergeCell ref="D7:E7"/>
    <mergeCell ref="F7:G7"/>
    <mergeCell ref="H7:I7"/>
    <mergeCell ref="J7:K7"/>
  </mergeCells>
  <pageMargins left="0.7" right="0.7" top="0.75" bottom="0.75" header="0.3" footer="0.3"/>
  <pageSetup scale="85" orientation="landscape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F3D4EB-FC7B-A543-B28C-94644D744C25}">
  <dimension ref="A1:L30"/>
  <sheetViews>
    <sheetView workbookViewId="0">
      <selection activeCell="F32" sqref="F32"/>
    </sheetView>
  </sheetViews>
  <sheetFormatPr baseColWidth="10" defaultRowHeight="16" x14ac:dyDescent="0.2"/>
  <sheetData>
    <row r="1" spans="1:12" x14ac:dyDescent="0.2">
      <c r="A1" s="10"/>
      <c r="B1" s="22" t="s">
        <v>12</v>
      </c>
      <c r="C1" s="22"/>
      <c r="D1" s="22"/>
      <c r="E1" s="22"/>
      <c r="F1" s="22"/>
      <c r="G1" s="22"/>
      <c r="H1" s="22"/>
      <c r="I1" s="22"/>
      <c r="J1" s="22"/>
      <c r="K1" s="22"/>
      <c r="L1" s="22"/>
    </row>
    <row r="2" spans="1:12" x14ac:dyDescent="0.2">
      <c r="A2" s="10"/>
      <c r="B2" s="22" t="s">
        <v>10</v>
      </c>
      <c r="C2" s="22"/>
      <c r="D2" s="22"/>
      <c r="E2" s="22"/>
      <c r="F2" s="22"/>
      <c r="G2" s="22"/>
      <c r="H2" s="22"/>
      <c r="I2" s="22"/>
      <c r="J2" s="22"/>
      <c r="K2" s="22"/>
      <c r="L2" s="22"/>
    </row>
    <row r="3" spans="1:12" x14ac:dyDescent="0.2">
      <c r="A3" s="10"/>
      <c r="B3" s="22" t="s">
        <v>16</v>
      </c>
      <c r="C3" s="22"/>
      <c r="D3" s="22"/>
      <c r="E3" s="22"/>
      <c r="F3" s="22"/>
      <c r="G3" s="22"/>
      <c r="H3" s="22"/>
      <c r="I3" s="22"/>
      <c r="J3" s="22"/>
      <c r="K3" s="22"/>
      <c r="L3" s="22"/>
    </row>
    <row r="5" spans="1:12" x14ac:dyDescent="0.2">
      <c r="A5" s="10"/>
      <c r="B5" s="1" t="s">
        <v>2</v>
      </c>
      <c r="C5" s="11" t="s">
        <v>3</v>
      </c>
      <c r="D5" s="12"/>
      <c r="E5" s="11" t="s">
        <v>4</v>
      </c>
      <c r="F5" s="12"/>
      <c r="G5" s="11" t="s">
        <v>5</v>
      </c>
      <c r="H5" s="12"/>
      <c r="I5" s="11" t="s">
        <v>6</v>
      </c>
      <c r="J5" s="12"/>
      <c r="K5" s="11" t="s">
        <v>7</v>
      </c>
      <c r="L5" s="12"/>
    </row>
    <row r="6" spans="1:12" x14ac:dyDescent="0.2">
      <c r="A6" s="13"/>
      <c r="B6" s="2"/>
      <c r="C6" s="14" t="s">
        <v>8</v>
      </c>
      <c r="D6" s="14" t="s">
        <v>9</v>
      </c>
      <c r="E6" s="14" t="s">
        <v>8</v>
      </c>
      <c r="F6" s="14" t="s">
        <v>9</v>
      </c>
      <c r="G6" s="14" t="s">
        <v>8</v>
      </c>
      <c r="H6" s="14" t="s">
        <v>9</v>
      </c>
      <c r="I6" s="14" t="s">
        <v>8</v>
      </c>
      <c r="J6" s="14" t="s">
        <v>9</v>
      </c>
      <c r="K6" s="14" t="s">
        <v>8</v>
      </c>
      <c r="L6" s="14" t="s">
        <v>9</v>
      </c>
    </row>
    <row r="7" spans="1:12" x14ac:dyDescent="0.2">
      <c r="A7" s="15"/>
      <c r="B7" s="16">
        <v>0</v>
      </c>
      <c r="C7" s="17">
        <v>49671</v>
      </c>
      <c r="D7" s="18">
        <f>C7/24</f>
        <v>2069.625</v>
      </c>
      <c r="E7" s="17">
        <v>53700</v>
      </c>
      <c r="F7" s="18">
        <f>E7/24</f>
        <v>2237.5</v>
      </c>
      <c r="G7" s="17">
        <v>57865</v>
      </c>
      <c r="H7" s="18">
        <f>G7/24</f>
        <v>2411.0416666666665</v>
      </c>
      <c r="I7" s="17">
        <v>58680</v>
      </c>
      <c r="J7" s="18">
        <f>I7/24</f>
        <v>2445</v>
      </c>
      <c r="K7" s="17">
        <v>60837</v>
      </c>
      <c r="L7" s="18">
        <f>K7/24</f>
        <v>2534.875</v>
      </c>
    </row>
    <row r="8" spans="1:12" x14ac:dyDescent="0.2">
      <c r="A8" s="15"/>
      <c r="B8" s="16">
        <v>1</v>
      </c>
      <c r="C8" s="17">
        <v>50684</v>
      </c>
      <c r="D8" s="18">
        <f t="shared" ref="D8:D26" si="0">C8/24</f>
        <v>2111.8333333333335</v>
      </c>
      <c r="E8" s="17">
        <v>54953</v>
      </c>
      <c r="F8" s="18">
        <f t="shared" ref="F8:F26" si="1">E8/24</f>
        <v>2289.7083333333335</v>
      </c>
      <c r="G8" s="17">
        <v>59319</v>
      </c>
      <c r="H8" s="18">
        <f t="shared" ref="H8:H26" si="2">G8/24</f>
        <v>2471.625</v>
      </c>
      <c r="I8" s="17">
        <v>60145</v>
      </c>
      <c r="J8" s="18">
        <f t="shared" ref="J8:J26" si="3">I8/24</f>
        <v>2506.0416666666665</v>
      </c>
      <c r="K8" s="17">
        <v>62226</v>
      </c>
      <c r="L8" s="18">
        <f t="shared" ref="L8:L26" si="4">K8/24</f>
        <v>2592.75</v>
      </c>
    </row>
    <row r="9" spans="1:12" x14ac:dyDescent="0.2">
      <c r="A9" s="15"/>
      <c r="B9" s="16">
        <v>2</v>
      </c>
      <c r="C9" s="17">
        <v>51917</v>
      </c>
      <c r="D9" s="18">
        <f t="shared" si="0"/>
        <v>2163.2083333333335</v>
      </c>
      <c r="E9" s="17">
        <v>56157</v>
      </c>
      <c r="F9" s="18">
        <f t="shared" si="1"/>
        <v>2339.875</v>
      </c>
      <c r="G9" s="17">
        <v>60703</v>
      </c>
      <c r="H9" s="18">
        <f t="shared" si="2"/>
        <v>2529.2916666666665</v>
      </c>
      <c r="I9" s="17">
        <v>61526</v>
      </c>
      <c r="J9" s="18">
        <f t="shared" si="3"/>
        <v>2563.5833333333335</v>
      </c>
      <c r="K9" s="17">
        <v>63607</v>
      </c>
      <c r="L9" s="18">
        <f t="shared" si="4"/>
        <v>2650.2916666666665</v>
      </c>
    </row>
    <row r="10" spans="1:12" x14ac:dyDescent="0.2">
      <c r="A10" s="15"/>
      <c r="B10" s="16">
        <v>3</v>
      </c>
      <c r="C10" s="17">
        <v>53070</v>
      </c>
      <c r="D10" s="18">
        <f t="shared" si="0"/>
        <v>2211.25</v>
      </c>
      <c r="E10" s="17">
        <v>57316</v>
      </c>
      <c r="F10" s="18">
        <f t="shared" si="1"/>
        <v>2388.1666666666665</v>
      </c>
      <c r="G10" s="17">
        <v>62058</v>
      </c>
      <c r="H10" s="18">
        <f t="shared" si="2"/>
        <v>2585.75</v>
      </c>
      <c r="I10" s="17">
        <v>62885</v>
      </c>
      <c r="J10" s="18">
        <f t="shared" si="3"/>
        <v>2620.2083333333335</v>
      </c>
      <c r="K10" s="17">
        <v>64960</v>
      </c>
      <c r="L10" s="18">
        <f t="shared" si="4"/>
        <v>2706.6666666666665</v>
      </c>
    </row>
    <row r="11" spans="1:12" x14ac:dyDescent="0.2">
      <c r="A11" s="15"/>
      <c r="B11" s="16">
        <v>4</v>
      </c>
      <c r="C11" s="17">
        <v>54149</v>
      </c>
      <c r="D11" s="18">
        <f t="shared" si="0"/>
        <v>2256.2083333333335</v>
      </c>
      <c r="E11" s="17">
        <v>58492</v>
      </c>
      <c r="F11" s="18">
        <f t="shared" si="1"/>
        <v>2437.1666666666665</v>
      </c>
      <c r="G11" s="17">
        <v>63542</v>
      </c>
      <c r="H11" s="18">
        <f t="shared" si="2"/>
        <v>2647.5833333333335</v>
      </c>
      <c r="I11" s="17">
        <v>64372</v>
      </c>
      <c r="J11" s="18">
        <f t="shared" si="3"/>
        <v>2682.1666666666665</v>
      </c>
      <c r="K11" s="17">
        <v>66513</v>
      </c>
      <c r="L11" s="18">
        <f t="shared" si="4"/>
        <v>2771.375</v>
      </c>
    </row>
    <row r="12" spans="1:12" x14ac:dyDescent="0.2">
      <c r="A12" s="15"/>
      <c r="B12" s="16">
        <v>5</v>
      </c>
      <c r="C12" s="17">
        <v>55104</v>
      </c>
      <c r="D12" s="18">
        <f t="shared" si="0"/>
        <v>2296</v>
      </c>
      <c r="E12" s="17">
        <v>59495</v>
      </c>
      <c r="F12" s="18">
        <f t="shared" si="1"/>
        <v>2478.9583333333335</v>
      </c>
      <c r="G12" s="17">
        <v>64715</v>
      </c>
      <c r="H12" s="18">
        <f t="shared" si="2"/>
        <v>2696.4583333333335</v>
      </c>
      <c r="I12" s="17">
        <v>65506</v>
      </c>
      <c r="J12" s="18">
        <f t="shared" si="3"/>
        <v>2729.4166666666665</v>
      </c>
      <c r="K12" s="17">
        <v>67680</v>
      </c>
      <c r="L12" s="18">
        <f t="shared" si="4"/>
        <v>2820</v>
      </c>
    </row>
    <row r="13" spans="1:12" x14ac:dyDescent="0.2">
      <c r="A13" s="15"/>
      <c r="B13" s="16">
        <v>6</v>
      </c>
      <c r="C13" s="17">
        <v>56456</v>
      </c>
      <c r="D13" s="18">
        <f t="shared" si="0"/>
        <v>2352.3333333333335</v>
      </c>
      <c r="E13" s="17">
        <v>60929</v>
      </c>
      <c r="F13" s="18">
        <f t="shared" si="1"/>
        <v>2538.7083333333335</v>
      </c>
      <c r="G13" s="17">
        <v>66375</v>
      </c>
      <c r="H13" s="18">
        <f t="shared" si="2"/>
        <v>2765.625</v>
      </c>
      <c r="I13" s="17">
        <v>67177</v>
      </c>
      <c r="J13" s="18">
        <f t="shared" si="3"/>
        <v>2799.0416666666665</v>
      </c>
      <c r="K13" s="17">
        <v>69348</v>
      </c>
      <c r="L13" s="18">
        <f t="shared" si="4"/>
        <v>2889.5</v>
      </c>
    </row>
    <row r="14" spans="1:12" x14ac:dyDescent="0.2">
      <c r="A14" s="15"/>
      <c r="B14" s="16">
        <v>7</v>
      </c>
      <c r="C14" s="17">
        <v>57149</v>
      </c>
      <c r="D14" s="18">
        <f t="shared" si="0"/>
        <v>2381.2083333333335</v>
      </c>
      <c r="E14" s="17">
        <v>61662</v>
      </c>
      <c r="F14" s="18">
        <f t="shared" si="1"/>
        <v>2569.25</v>
      </c>
      <c r="G14" s="17">
        <v>67488</v>
      </c>
      <c r="H14" s="18">
        <f t="shared" si="2"/>
        <v>2812</v>
      </c>
      <c r="I14" s="17">
        <v>68327</v>
      </c>
      <c r="J14" s="18">
        <f t="shared" si="3"/>
        <v>2846.9583333333335</v>
      </c>
      <c r="K14" s="17">
        <v>70411</v>
      </c>
      <c r="L14" s="18">
        <f t="shared" si="4"/>
        <v>2933.7916666666665</v>
      </c>
    </row>
    <row r="15" spans="1:12" x14ac:dyDescent="0.2">
      <c r="A15" s="15"/>
      <c r="B15" s="16">
        <v>8</v>
      </c>
      <c r="C15" s="17">
        <v>58274</v>
      </c>
      <c r="D15" s="18">
        <f t="shared" si="0"/>
        <v>2428.0833333333335</v>
      </c>
      <c r="E15" s="17">
        <v>62890</v>
      </c>
      <c r="F15" s="18">
        <f t="shared" si="1"/>
        <v>2620.4166666666665</v>
      </c>
      <c r="G15" s="17">
        <v>68818</v>
      </c>
      <c r="H15" s="18">
        <f t="shared" si="2"/>
        <v>2867.4166666666665</v>
      </c>
      <c r="I15" s="17">
        <v>69679</v>
      </c>
      <c r="J15" s="18">
        <f t="shared" si="3"/>
        <v>2903.2916666666665</v>
      </c>
      <c r="K15" s="17">
        <v>71735</v>
      </c>
      <c r="L15" s="18">
        <f t="shared" si="4"/>
        <v>2988.9583333333335</v>
      </c>
    </row>
    <row r="16" spans="1:12" x14ac:dyDescent="0.2">
      <c r="A16" s="15"/>
      <c r="B16" s="16">
        <v>9</v>
      </c>
      <c r="C16" s="17">
        <v>58808</v>
      </c>
      <c r="D16" s="18">
        <f t="shared" si="0"/>
        <v>2450.3333333333335</v>
      </c>
      <c r="E16" s="17">
        <v>63475</v>
      </c>
      <c r="F16" s="18">
        <f t="shared" si="1"/>
        <v>2644.7916666666665</v>
      </c>
      <c r="G16" s="17">
        <v>69653</v>
      </c>
      <c r="H16" s="18">
        <f t="shared" si="2"/>
        <v>2902.2083333333335</v>
      </c>
      <c r="I16" s="17">
        <v>70500</v>
      </c>
      <c r="J16" s="18">
        <f t="shared" si="3"/>
        <v>2937.5</v>
      </c>
      <c r="K16" s="17">
        <v>73072</v>
      </c>
      <c r="L16" s="18">
        <f t="shared" si="4"/>
        <v>3044.6666666666665</v>
      </c>
    </row>
    <row r="17" spans="1:12" x14ac:dyDescent="0.2">
      <c r="A17" s="15"/>
      <c r="B17" s="16">
        <v>10</v>
      </c>
      <c r="C17" s="17">
        <v>59986</v>
      </c>
      <c r="D17" s="18">
        <f t="shared" si="0"/>
        <v>2499.4166666666665</v>
      </c>
      <c r="E17" s="17">
        <v>64755</v>
      </c>
      <c r="F17" s="18">
        <f t="shared" si="1"/>
        <v>2698.125</v>
      </c>
      <c r="G17" s="17">
        <v>71083</v>
      </c>
      <c r="H17" s="18">
        <f t="shared" si="2"/>
        <v>2961.7916666666665</v>
      </c>
      <c r="I17" s="17">
        <v>71898</v>
      </c>
      <c r="J17" s="18">
        <f t="shared" si="3"/>
        <v>2995.75</v>
      </c>
      <c r="K17" s="17">
        <v>74021</v>
      </c>
      <c r="L17" s="18">
        <f t="shared" si="4"/>
        <v>3084.2083333333335</v>
      </c>
    </row>
    <row r="18" spans="1:12" x14ac:dyDescent="0.2">
      <c r="A18" s="15"/>
      <c r="B18" s="16">
        <v>11</v>
      </c>
      <c r="C18" s="17">
        <v>61617</v>
      </c>
      <c r="D18" s="18">
        <f t="shared" si="0"/>
        <v>2567.375</v>
      </c>
      <c r="E18" s="17">
        <v>66488</v>
      </c>
      <c r="F18" s="18">
        <f t="shared" si="1"/>
        <v>2770.3333333333335</v>
      </c>
      <c r="G18" s="17">
        <v>73219</v>
      </c>
      <c r="H18" s="18">
        <f t="shared" si="2"/>
        <v>3050.7916666666665</v>
      </c>
      <c r="I18" s="17">
        <v>73995</v>
      </c>
      <c r="J18" s="18">
        <f t="shared" si="3"/>
        <v>3083.125</v>
      </c>
      <c r="K18" s="17">
        <v>76173</v>
      </c>
      <c r="L18" s="18">
        <f t="shared" si="4"/>
        <v>3173.875</v>
      </c>
    </row>
    <row r="19" spans="1:12" x14ac:dyDescent="0.2">
      <c r="A19" s="15"/>
      <c r="B19" s="16">
        <v>12</v>
      </c>
      <c r="C19" s="17">
        <v>63099</v>
      </c>
      <c r="D19" s="18">
        <f t="shared" si="0"/>
        <v>2629.125</v>
      </c>
      <c r="E19" s="17">
        <v>67966</v>
      </c>
      <c r="F19" s="18">
        <f t="shared" si="1"/>
        <v>2831.9166666666665</v>
      </c>
      <c r="G19" s="17">
        <v>74825</v>
      </c>
      <c r="H19" s="18">
        <f t="shared" si="2"/>
        <v>3117.7083333333335</v>
      </c>
      <c r="I19" s="17">
        <v>75684</v>
      </c>
      <c r="J19" s="18">
        <f t="shared" si="3"/>
        <v>3153.5</v>
      </c>
      <c r="K19" s="17">
        <v>77751</v>
      </c>
      <c r="L19" s="18">
        <f t="shared" si="4"/>
        <v>3239.625</v>
      </c>
    </row>
    <row r="20" spans="1:12" x14ac:dyDescent="0.2">
      <c r="A20" s="15"/>
      <c r="B20" s="16">
        <v>13</v>
      </c>
      <c r="C20" s="17">
        <v>64605</v>
      </c>
      <c r="D20" s="18">
        <f t="shared" si="0"/>
        <v>2691.875</v>
      </c>
      <c r="E20" s="17">
        <v>69423</v>
      </c>
      <c r="F20" s="18">
        <f t="shared" si="1"/>
        <v>2892.625</v>
      </c>
      <c r="G20" s="17">
        <v>76604</v>
      </c>
      <c r="H20" s="18">
        <f t="shared" si="2"/>
        <v>3191.8333333333335</v>
      </c>
      <c r="I20" s="17">
        <v>77416</v>
      </c>
      <c r="J20" s="18">
        <f t="shared" si="3"/>
        <v>3225.6666666666665</v>
      </c>
      <c r="K20" s="17">
        <v>79594</v>
      </c>
      <c r="L20" s="18">
        <f t="shared" si="4"/>
        <v>3316.4166666666665</v>
      </c>
    </row>
    <row r="21" spans="1:12" x14ac:dyDescent="0.2">
      <c r="A21" s="15"/>
      <c r="B21" s="16">
        <v>14</v>
      </c>
      <c r="C21" s="17">
        <v>66009</v>
      </c>
      <c r="D21" s="18">
        <f t="shared" si="0"/>
        <v>2750.375</v>
      </c>
      <c r="E21" s="17">
        <v>70983</v>
      </c>
      <c r="F21" s="18">
        <f t="shared" si="1"/>
        <v>2957.625</v>
      </c>
      <c r="G21" s="17">
        <v>78191</v>
      </c>
      <c r="H21" s="18">
        <f t="shared" si="2"/>
        <v>3257.9583333333335</v>
      </c>
      <c r="I21" s="17">
        <v>79051</v>
      </c>
      <c r="J21" s="18">
        <f t="shared" si="3"/>
        <v>3293.7916666666665</v>
      </c>
      <c r="K21" s="17">
        <v>81104</v>
      </c>
      <c r="L21" s="18">
        <f t="shared" si="4"/>
        <v>3379.3333333333335</v>
      </c>
    </row>
    <row r="22" spans="1:12" x14ac:dyDescent="0.2">
      <c r="A22" s="15"/>
      <c r="B22" s="16">
        <v>15</v>
      </c>
      <c r="C22" s="17">
        <v>67520</v>
      </c>
      <c r="D22" s="18">
        <f t="shared" si="0"/>
        <v>2813.3333333333335</v>
      </c>
      <c r="E22" s="17">
        <v>72413</v>
      </c>
      <c r="F22" s="18">
        <f t="shared" si="1"/>
        <v>3017.2083333333335</v>
      </c>
      <c r="G22" s="17">
        <v>79920</v>
      </c>
      <c r="H22" s="18">
        <f t="shared" si="2"/>
        <v>3330</v>
      </c>
      <c r="I22" s="17">
        <v>80767</v>
      </c>
      <c r="J22" s="18">
        <f t="shared" si="3"/>
        <v>3365.2916666666665</v>
      </c>
      <c r="K22" s="17">
        <v>82872</v>
      </c>
      <c r="L22" s="18">
        <f t="shared" si="4"/>
        <v>3453</v>
      </c>
    </row>
    <row r="23" spans="1:12" x14ac:dyDescent="0.2">
      <c r="A23" s="15"/>
      <c r="B23" s="16">
        <v>16</v>
      </c>
      <c r="C23" s="17">
        <v>68193</v>
      </c>
      <c r="D23" s="18">
        <f t="shared" si="0"/>
        <v>2841.375</v>
      </c>
      <c r="E23" s="17">
        <v>73088</v>
      </c>
      <c r="F23" s="18">
        <f t="shared" si="1"/>
        <v>3045.3333333333335</v>
      </c>
      <c r="G23" s="17">
        <v>80595</v>
      </c>
      <c r="H23" s="18">
        <f t="shared" si="2"/>
        <v>3358.125</v>
      </c>
      <c r="I23" s="17">
        <v>81441</v>
      </c>
      <c r="J23" s="18">
        <f t="shared" si="3"/>
        <v>3393.375</v>
      </c>
      <c r="K23" s="17">
        <v>83547</v>
      </c>
      <c r="L23" s="18">
        <f t="shared" si="4"/>
        <v>3481.125</v>
      </c>
    </row>
    <row r="24" spans="1:12" x14ac:dyDescent="0.2">
      <c r="A24" s="15"/>
      <c r="B24" s="16">
        <v>17</v>
      </c>
      <c r="C24" s="17">
        <v>68869</v>
      </c>
      <c r="D24" s="18">
        <f t="shared" si="0"/>
        <v>2869.5416666666665</v>
      </c>
      <c r="E24" s="17">
        <v>73762</v>
      </c>
      <c r="F24" s="18">
        <f t="shared" si="1"/>
        <v>3073.4166666666665</v>
      </c>
      <c r="G24" s="17">
        <v>81269</v>
      </c>
      <c r="H24" s="18">
        <f t="shared" si="2"/>
        <v>3386.2083333333335</v>
      </c>
      <c r="I24" s="17">
        <v>82116</v>
      </c>
      <c r="J24" s="18">
        <f t="shared" si="3"/>
        <v>3421.5</v>
      </c>
      <c r="K24" s="17">
        <v>84221</v>
      </c>
      <c r="L24" s="18">
        <f t="shared" si="4"/>
        <v>3509.2083333333335</v>
      </c>
    </row>
    <row r="25" spans="1:12" x14ac:dyDescent="0.2">
      <c r="A25" s="15"/>
      <c r="B25" s="16">
        <v>18</v>
      </c>
      <c r="C25" s="17">
        <v>69816</v>
      </c>
      <c r="D25" s="18">
        <f t="shared" si="0"/>
        <v>2909</v>
      </c>
      <c r="E25" s="17">
        <v>74812</v>
      </c>
      <c r="F25" s="18">
        <f t="shared" si="1"/>
        <v>3117.1666666666665</v>
      </c>
      <c r="G25" s="17">
        <v>82470</v>
      </c>
      <c r="H25" s="18">
        <f t="shared" si="2"/>
        <v>3436.25</v>
      </c>
      <c r="I25" s="17">
        <v>83335</v>
      </c>
      <c r="J25" s="18">
        <f t="shared" si="3"/>
        <v>3472.2916666666665</v>
      </c>
      <c r="K25" s="17">
        <v>85480</v>
      </c>
      <c r="L25" s="18">
        <f t="shared" si="4"/>
        <v>3561.6666666666665</v>
      </c>
    </row>
    <row r="26" spans="1:12" x14ac:dyDescent="0.2">
      <c r="B26" s="19">
        <v>19</v>
      </c>
      <c r="C26" s="17">
        <v>71213</v>
      </c>
      <c r="D26" s="18">
        <f t="shared" si="0"/>
        <v>2967.2083333333335</v>
      </c>
      <c r="E26" s="17">
        <v>76308</v>
      </c>
      <c r="F26" s="18">
        <f t="shared" si="1"/>
        <v>3179.5</v>
      </c>
      <c r="G26" s="17">
        <v>84118</v>
      </c>
      <c r="H26" s="18">
        <f t="shared" si="2"/>
        <v>3504.9166666666665</v>
      </c>
      <c r="I26" s="17">
        <v>85002</v>
      </c>
      <c r="J26" s="18">
        <f t="shared" si="3"/>
        <v>3541.75</v>
      </c>
      <c r="K26" s="17">
        <v>87190</v>
      </c>
      <c r="L26" s="18">
        <f t="shared" si="4"/>
        <v>3632.9166666666665</v>
      </c>
    </row>
    <row r="29" spans="1:12" x14ac:dyDescent="0.2">
      <c r="B29" s="9" t="s">
        <v>13</v>
      </c>
    </row>
    <row r="30" spans="1:12" ht="18" x14ac:dyDescent="0.2">
      <c r="C30" s="25" t="s">
        <v>17</v>
      </c>
    </row>
  </sheetData>
  <mergeCells count="3">
    <mergeCell ref="B1:L1"/>
    <mergeCell ref="B2:L2"/>
    <mergeCell ref="B3:L3"/>
  </mergeCells>
  <pageMargins left="0.7" right="0.7" top="0.75" bottom="0.75" header="0.3" footer="0.3"/>
  <pageSetup scale="80" orientation="landscape" horizontalDpi="0" verticalDpi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2AFDA3-1794-7343-982E-4D29C7300BC3}">
  <dimension ref="A2:K32"/>
  <sheetViews>
    <sheetView topLeftCell="A6" workbookViewId="0">
      <selection activeCell="F36" sqref="F36"/>
    </sheetView>
  </sheetViews>
  <sheetFormatPr baseColWidth="10" defaultRowHeight="16" x14ac:dyDescent="0.2"/>
  <sheetData>
    <row r="2" spans="1:11" x14ac:dyDescent="0.2">
      <c r="A2" s="22" t="s">
        <v>0</v>
      </c>
      <c r="B2" s="22"/>
      <c r="C2" s="22"/>
      <c r="D2" s="22"/>
      <c r="E2" s="22"/>
      <c r="F2" s="22"/>
      <c r="G2" s="22"/>
      <c r="H2" s="22"/>
      <c r="I2" s="22"/>
      <c r="J2" s="22"/>
      <c r="K2" s="22"/>
    </row>
    <row r="3" spans="1:11" x14ac:dyDescent="0.2">
      <c r="A3" s="22" t="s">
        <v>11</v>
      </c>
      <c r="B3" s="22"/>
      <c r="C3" s="22"/>
      <c r="D3" s="22"/>
      <c r="E3" s="22"/>
      <c r="F3" s="22"/>
      <c r="G3" s="22"/>
      <c r="H3" s="22"/>
      <c r="I3" s="22"/>
      <c r="J3" s="22"/>
      <c r="K3" s="22"/>
    </row>
    <row r="4" spans="1:11" x14ac:dyDescent="0.2">
      <c r="A4" s="22" t="s">
        <v>12</v>
      </c>
      <c r="B4" s="22"/>
      <c r="C4" s="22"/>
      <c r="D4" s="22"/>
      <c r="E4" s="22"/>
      <c r="F4" s="22"/>
      <c r="G4" s="22"/>
      <c r="H4" s="22"/>
      <c r="I4" s="22"/>
      <c r="J4" s="22"/>
      <c r="K4" s="22"/>
    </row>
    <row r="5" spans="1:11" x14ac:dyDescent="0.2">
      <c r="D5" t="s">
        <v>14</v>
      </c>
    </row>
    <row r="6" spans="1:11" x14ac:dyDescent="0.2">
      <c r="A6" s="22"/>
      <c r="B6" s="22"/>
      <c r="C6" s="22"/>
      <c r="D6" s="22"/>
      <c r="E6" s="22"/>
      <c r="F6" s="22"/>
      <c r="G6" s="22"/>
      <c r="H6" s="22"/>
      <c r="I6" s="22"/>
      <c r="J6" s="22"/>
      <c r="K6" s="22"/>
    </row>
    <row r="7" spans="1:11" x14ac:dyDescent="0.2">
      <c r="A7" s="1" t="s">
        <v>2</v>
      </c>
      <c r="B7" s="11" t="s">
        <v>3</v>
      </c>
      <c r="C7" s="12"/>
      <c r="D7" s="11" t="s">
        <v>4</v>
      </c>
      <c r="E7" s="12"/>
      <c r="F7" s="11" t="s">
        <v>5</v>
      </c>
      <c r="G7" s="12"/>
      <c r="H7" s="11" t="s">
        <v>6</v>
      </c>
      <c r="I7" s="12"/>
      <c r="J7" s="11" t="s">
        <v>7</v>
      </c>
      <c r="K7" s="12"/>
    </row>
    <row r="8" spans="1:11" x14ac:dyDescent="0.2">
      <c r="A8" s="2"/>
      <c r="B8" s="14" t="s">
        <v>8</v>
      </c>
      <c r="C8" s="14" t="s">
        <v>9</v>
      </c>
      <c r="D8" s="14" t="s">
        <v>8</v>
      </c>
      <c r="E8" s="14" t="s">
        <v>9</v>
      </c>
      <c r="F8" s="14" t="s">
        <v>8</v>
      </c>
      <c r="G8" s="14" t="s">
        <v>9</v>
      </c>
      <c r="H8" s="14" t="s">
        <v>8</v>
      </c>
      <c r="I8" s="14" t="s">
        <v>9</v>
      </c>
      <c r="J8" s="14" t="s">
        <v>8</v>
      </c>
      <c r="K8" s="14" t="s">
        <v>9</v>
      </c>
    </row>
    <row r="9" spans="1:11" x14ac:dyDescent="0.2">
      <c r="A9" s="20">
        <v>0</v>
      </c>
      <c r="B9" s="17">
        <v>54185</v>
      </c>
      <c r="C9" s="18">
        <f>B9/24</f>
        <v>2257.7083333333335</v>
      </c>
      <c r="D9" s="17">
        <v>58583</v>
      </c>
      <c r="E9" s="18">
        <f>D9/24</f>
        <v>2440.9583333333335</v>
      </c>
      <c r="F9" s="17">
        <v>63125</v>
      </c>
      <c r="G9" s="18">
        <f>F9/24</f>
        <v>2630.2083333333335</v>
      </c>
      <c r="H9" s="17">
        <v>64014</v>
      </c>
      <c r="I9" s="18">
        <f>H9/24</f>
        <v>2667.25</v>
      </c>
      <c r="J9" s="17">
        <v>66367</v>
      </c>
      <c r="K9" s="18">
        <f>J9/24</f>
        <v>2765.2916666666665</v>
      </c>
    </row>
    <row r="10" spans="1:11" x14ac:dyDescent="0.2">
      <c r="A10" s="20">
        <v>1</v>
      </c>
      <c r="B10" s="17">
        <v>55291</v>
      </c>
      <c r="C10" s="18">
        <f t="shared" ref="C10:C28" si="0">B10/24</f>
        <v>2303.7916666666665</v>
      </c>
      <c r="D10" s="17">
        <v>59947</v>
      </c>
      <c r="E10" s="18">
        <f t="shared" ref="E10:E28" si="1">D10/24</f>
        <v>2497.7916666666665</v>
      </c>
      <c r="F10" s="17">
        <v>64712</v>
      </c>
      <c r="G10" s="18">
        <f t="shared" ref="G10:G28" si="2">F10/24</f>
        <v>2696.3333333333335</v>
      </c>
      <c r="H10" s="17">
        <v>65614</v>
      </c>
      <c r="I10" s="18">
        <f t="shared" ref="I10:I28" si="3">H10/24</f>
        <v>2733.9166666666665</v>
      </c>
      <c r="J10" s="17">
        <v>67883</v>
      </c>
      <c r="K10" s="18">
        <f t="shared" ref="K10:K28" si="4">J10/24</f>
        <v>2828.4583333333335</v>
      </c>
    </row>
    <row r="11" spans="1:11" x14ac:dyDescent="0.2">
      <c r="A11" s="20">
        <v>2</v>
      </c>
      <c r="B11" s="17">
        <v>56637</v>
      </c>
      <c r="C11" s="18">
        <f t="shared" si="0"/>
        <v>2359.875</v>
      </c>
      <c r="D11" s="17">
        <v>61262</v>
      </c>
      <c r="E11" s="18">
        <f t="shared" si="1"/>
        <v>2552.5833333333335</v>
      </c>
      <c r="F11" s="17">
        <v>66222</v>
      </c>
      <c r="G11" s="18">
        <f t="shared" si="2"/>
        <v>2759.25</v>
      </c>
      <c r="H11" s="17">
        <v>67120</v>
      </c>
      <c r="I11" s="18">
        <f t="shared" si="3"/>
        <v>2796.6666666666665</v>
      </c>
      <c r="J11" s="17">
        <v>69389</v>
      </c>
      <c r="K11" s="18">
        <f t="shared" si="4"/>
        <v>2891.2083333333335</v>
      </c>
    </row>
    <row r="12" spans="1:11" x14ac:dyDescent="0.2">
      <c r="A12" s="20">
        <v>3</v>
      </c>
      <c r="B12" s="17">
        <v>57894</v>
      </c>
      <c r="C12" s="18">
        <f t="shared" si="0"/>
        <v>2412.25</v>
      </c>
      <c r="D12" s="17">
        <v>62526</v>
      </c>
      <c r="E12" s="18">
        <f t="shared" si="1"/>
        <v>2605.25</v>
      </c>
      <c r="F12" s="17">
        <v>67699</v>
      </c>
      <c r="G12" s="18">
        <f t="shared" si="2"/>
        <v>2820.7916666666665</v>
      </c>
      <c r="H12" s="17">
        <v>68602</v>
      </c>
      <c r="I12" s="18">
        <f t="shared" si="3"/>
        <v>2858.4166666666665</v>
      </c>
      <c r="J12" s="17">
        <v>70867</v>
      </c>
      <c r="K12" s="18">
        <f t="shared" si="4"/>
        <v>2952.7916666666665</v>
      </c>
    </row>
    <row r="13" spans="1:11" x14ac:dyDescent="0.2">
      <c r="A13" s="20">
        <v>4</v>
      </c>
      <c r="B13" s="17">
        <v>59071</v>
      </c>
      <c r="C13" s="18">
        <f t="shared" si="0"/>
        <v>2461.2916666666665</v>
      </c>
      <c r="D13" s="17">
        <v>63809</v>
      </c>
      <c r="E13" s="18">
        <f t="shared" si="1"/>
        <v>2658.7083333333335</v>
      </c>
      <c r="F13" s="17">
        <v>69319</v>
      </c>
      <c r="G13" s="18">
        <f t="shared" si="2"/>
        <v>2888.2916666666665</v>
      </c>
      <c r="H13" s="17">
        <v>70225</v>
      </c>
      <c r="I13" s="18">
        <f t="shared" si="3"/>
        <v>2926.0416666666665</v>
      </c>
      <c r="J13" s="17">
        <v>72561</v>
      </c>
      <c r="K13" s="18">
        <f t="shared" si="4"/>
        <v>3023.375</v>
      </c>
    </row>
    <row r="14" spans="1:11" x14ac:dyDescent="0.2">
      <c r="A14" s="20">
        <v>5</v>
      </c>
      <c r="B14" s="17">
        <v>60114</v>
      </c>
      <c r="C14" s="18">
        <f t="shared" si="0"/>
        <v>2504.75</v>
      </c>
      <c r="D14" s="17">
        <v>64903</v>
      </c>
      <c r="E14" s="18">
        <f t="shared" si="1"/>
        <v>2704.2916666666665</v>
      </c>
      <c r="F14" s="17">
        <v>70598</v>
      </c>
      <c r="G14" s="18">
        <f t="shared" si="2"/>
        <v>2941.5833333333335</v>
      </c>
      <c r="H14" s="17">
        <v>71461</v>
      </c>
      <c r="I14" s="18">
        <f t="shared" si="3"/>
        <v>2977.5416666666665</v>
      </c>
      <c r="J14" s="17">
        <v>73835</v>
      </c>
      <c r="K14" s="18">
        <f t="shared" si="4"/>
        <v>3076.4583333333335</v>
      </c>
    </row>
    <row r="15" spans="1:11" x14ac:dyDescent="0.2">
      <c r="A15" s="20">
        <v>6</v>
      </c>
      <c r="B15" s="17">
        <v>61589</v>
      </c>
      <c r="C15" s="18">
        <f t="shared" si="0"/>
        <v>2566.2083333333335</v>
      </c>
      <c r="D15" s="17">
        <v>66467</v>
      </c>
      <c r="E15" s="18">
        <f t="shared" si="1"/>
        <v>2769.4583333333335</v>
      </c>
      <c r="F15" s="17">
        <v>72409</v>
      </c>
      <c r="G15" s="18">
        <f t="shared" si="2"/>
        <v>3017.0416666666665</v>
      </c>
      <c r="H15" s="17">
        <v>73284</v>
      </c>
      <c r="I15" s="18">
        <f t="shared" si="3"/>
        <v>3053.5</v>
      </c>
      <c r="J15" s="17">
        <v>75652</v>
      </c>
      <c r="K15" s="18">
        <f t="shared" si="4"/>
        <v>3152.1666666666665</v>
      </c>
    </row>
    <row r="16" spans="1:11" x14ac:dyDescent="0.2">
      <c r="A16" s="20">
        <v>7</v>
      </c>
      <c r="B16" s="17">
        <v>62343</v>
      </c>
      <c r="C16" s="18">
        <f t="shared" si="0"/>
        <v>2597.625</v>
      </c>
      <c r="D16" s="17">
        <v>67270</v>
      </c>
      <c r="E16" s="18">
        <f t="shared" si="1"/>
        <v>2802.9166666666665</v>
      </c>
      <c r="F16" s="17">
        <v>73623</v>
      </c>
      <c r="G16" s="18">
        <f t="shared" si="2"/>
        <v>3067.625</v>
      </c>
      <c r="H16" s="17">
        <v>74539</v>
      </c>
      <c r="I16" s="18">
        <f t="shared" si="3"/>
        <v>3105.7916666666665</v>
      </c>
      <c r="J16" s="17">
        <v>76811</v>
      </c>
      <c r="K16" s="18">
        <f t="shared" si="4"/>
        <v>3200.4583333333335</v>
      </c>
    </row>
    <row r="17" spans="1:11" x14ac:dyDescent="0.2">
      <c r="A17" s="20">
        <v>8</v>
      </c>
      <c r="B17" s="17">
        <v>63572</v>
      </c>
      <c r="C17" s="18">
        <f t="shared" si="0"/>
        <v>2648.8333333333335</v>
      </c>
      <c r="D17" s="17">
        <v>68608</v>
      </c>
      <c r="E17" s="18">
        <f t="shared" si="1"/>
        <v>2858.6666666666665</v>
      </c>
      <c r="F17" s="17">
        <v>75074</v>
      </c>
      <c r="G17" s="18">
        <f t="shared" si="2"/>
        <v>3128.0833333333335</v>
      </c>
      <c r="H17" s="17">
        <v>76014</v>
      </c>
      <c r="I17" s="18">
        <f t="shared" si="3"/>
        <v>3167.25</v>
      </c>
      <c r="J17" s="17">
        <v>78256</v>
      </c>
      <c r="K17" s="18">
        <f t="shared" si="4"/>
        <v>3260.6666666666665</v>
      </c>
    </row>
    <row r="18" spans="1:11" x14ac:dyDescent="0.2">
      <c r="A18" s="20">
        <v>9</v>
      </c>
      <c r="B18" s="17">
        <v>64154</v>
      </c>
      <c r="C18" s="18">
        <f t="shared" si="0"/>
        <v>2673.0833333333335</v>
      </c>
      <c r="D18" s="17">
        <v>69246</v>
      </c>
      <c r="E18" s="18">
        <f t="shared" si="1"/>
        <v>2885.25</v>
      </c>
      <c r="F18" s="17">
        <v>75985</v>
      </c>
      <c r="G18" s="18">
        <f t="shared" si="2"/>
        <v>3166.0416666666665</v>
      </c>
      <c r="H18" s="17">
        <v>76909</v>
      </c>
      <c r="I18" s="18">
        <f t="shared" si="3"/>
        <v>3204.5416666666665</v>
      </c>
      <c r="J18" s="17">
        <v>79715</v>
      </c>
      <c r="K18" s="18">
        <f t="shared" si="4"/>
        <v>3321.4583333333335</v>
      </c>
    </row>
    <row r="19" spans="1:11" x14ac:dyDescent="0.2">
      <c r="A19" s="20">
        <v>10</v>
      </c>
      <c r="B19" s="17">
        <v>65440</v>
      </c>
      <c r="C19" s="18">
        <f t="shared" si="0"/>
        <v>2726.6666666666665</v>
      </c>
      <c r="D19" s="17">
        <v>70642</v>
      </c>
      <c r="E19" s="18">
        <f t="shared" si="1"/>
        <v>2943.4166666666665</v>
      </c>
      <c r="F19" s="17">
        <v>77544</v>
      </c>
      <c r="G19" s="18">
        <f t="shared" si="2"/>
        <v>3231</v>
      </c>
      <c r="H19" s="17">
        <v>78435</v>
      </c>
      <c r="I19" s="18">
        <f t="shared" si="3"/>
        <v>3268.125</v>
      </c>
      <c r="J19" s="17">
        <v>80750</v>
      </c>
      <c r="K19" s="18">
        <f t="shared" si="4"/>
        <v>3364.5833333333335</v>
      </c>
    </row>
    <row r="20" spans="1:11" x14ac:dyDescent="0.2">
      <c r="A20" s="20">
        <v>11</v>
      </c>
      <c r="B20" s="17">
        <v>67219</v>
      </c>
      <c r="C20" s="18">
        <f t="shared" si="0"/>
        <v>2800.7916666666665</v>
      </c>
      <c r="D20" s="17">
        <v>72531</v>
      </c>
      <c r="E20" s="18">
        <f t="shared" si="1"/>
        <v>3022.125</v>
      </c>
      <c r="F20" s="17">
        <v>79875</v>
      </c>
      <c r="G20" s="18">
        <f t="shared" si="2"/>
        <v>3328.125</v>
      </c>
      <c r="H20" s="17">
        <v>80722</v>
      </c>
      <c r="I20" s="18">
        <f t="shared" si="3"/>
        <v>3363.4166666666665</v>
      </c>
      <c r="J20" s="17">
        <v>83097</v>
      </c>
      <c r="K20" s="18">
        <f t="shared" si="4"/>
        <v>3462.375</v>
      </c>
    </row>
    <row r="21" spans="1:11" x14ac:dyDescent="0.2">
      <c r="A21" s="20">
        <v>12</v>
      </c>
      <c r="B21" s="17">
        <v>68836</v>
      </c>
      <c r="C21" s="18">
        <f t="shared" si="0"/>
        <v>2868.1666666666665</v>
      </c>
      <c r="D21" s="17">
        <v>74145</v>
      </c>
      <c r="E21" s="18">
        <f t="shared" si="1"/>
        <v>3089.375</v>
      </c>
      <c r="F21" s="17">
        <v>81629</v>
      </c>
      <c r="G21" s="18">
        <f t="shared" si="2"/>
        <v>3401.2083333333335</v>
      </c>
      <c r="H21" s="17">
        <v>82564</v>
      </c>
      <c r="I21" s="18">
        <f t="shared" si="3"/>
        <v>3440.1666666666665</v>
      </c>
      <c r="J21" s="17">
        <v>84819</v>
      </c>
      <c r="K21" s="18">
        <f t="shared" si="4"/>
        <v>3534.125</v>
      </c>
    </row>
    <row r="22" spans="1:11" x14ac:dyDescent="0.2">
      <c r="A22" s="20">
        <v>13</v>
      </c>
      <c r="B22" s="17">
        <v>70477</v>
      </c>
      <c r="C22" s="18">
        <f t="shared" si="0"/>
        <v>2936.5416666666665</v>
      </c>
      <c r="D22" s="17">
        <v>75734</v>
      </c>
      <c r="E22" s="18">
        <f t="shared" si="1"/>
        <v>3155.5833333333335</v>
      </c>
      <c r="F22" s="17">
        <v>83567</v>
      </c>
      <c r="G22" s="18">
        <f t="shared" si="2"/>
        <v>3481.9583333333335</v>
      </c>
      <c r="H22" s="17">
        <v>84454</v>
      </c>
      <c r="I22" s="18">
        <f t="shared" si="3"/>
        <v>3518.9166666666665</v>
      </c>
      <c r="J22" s="17">
        <v>86829</v>
      </c>
      <c r="K22" s="18">
        <f t="shared" si="4"/>
        <v>3617.875</v>
      </c>
    </row>
    <row r="23" spans="1:11" x14ac:dyDescent="0.2">
      <c r="A23" s="20">
        <v>14</v>
      </c>
      <c r="B23" s="17">
        <v>72011</v>
      </c>
      <c r="C23" s="18">
        <f t="shared" si="0"/>
        <v>3000.4583333333335</v>
      </c>
      <c r="D23" s="17">
        <v>77436</v>
      </c>
      <c r="E23" s="18">
        <f t="shared" si="1"/>
        <v>3226.5</v>
      </c>
      <c r="F23" s="17">
        <v>85301</v>
      </c>
      <c r="G23" s="18">
        <f t="shared" si="2"/>
        <v>3554.2083333333335</v>
      </c>
      <c r="H23" s="17">
        <v>86237</v>
      </c>
      <c r="I23" s="18">
        <f t="shared" si="3"/>
        <v>3593.2083333333335</v>
      </c>
      <c r="J23" s="17">
        <v>88478</v>
      </c>
      <c r="K23" s="18">
        <f t="shared" si="4"/>
        <v>3686.5833333333335</v>
      </c>
    </row>
    <row r="24" spans="1:11" x14ac:dyDescent="0.2">
      <c r="A24" s="20">
        <v>15</v>
      </c>
      <c r="B24" s="17">
        <v>73657</v>
      </c>
      <c r="C24" s="18">
        <f t="shared" si="0"/>
        <v>3069.0416666666665</v>
      </c>
      <c r="D24" s="17">
        <v>78996</v>
      </c>
      <c r="E24" s="18">
        <f t="shared" si="1"/>
        <v>3291.5</v>
      </c>
      <c r="F24" s="17">
        <v>87186</v>
      </c>
      <c r="G24" s="18">
        <f t="shared" si="2"/>
        <v>3632.75</v>
      </c>
      <c r="H24" s="17">
        <v>88109</v>
      </c>
      <c r="I24" s="18">
        <f t="shared" si="3"/>
        <v>3671.2083333333335</v>
      </c>
      <c r="J24" s="17">
        <v>90407</v>
      </c>
      <c r="K24" s="18">
        <f t="shared" si="4"/>
        <v>3766.9583333333335</v>
      </c>
    </row>
    <row r="25" spans="1:11" x14ac:dyDescent="0.2">
      <c r="A25" s="20">
        <v>16</v>
      </c>
      <c r="B25" s="17">
        <v>74392</v>
      </c>
      <c r="C25" s="18">
        <f t="shared" si="0"/>
        <v>3099.6666666666665</v>
      </c>
      <c r="D25" s="17">
        <v>79732</v>
      </c>
      <c r="E25" s="18">
        <f t="shared" si="1"/>
        <v>3322.1666666666665</v>
      </c>
      <c r="F25" s="17">
        <v>87922</v>
      </c>
      <c r="G25" s="18">
        <f t="shared" si="2"/>
        <v>3663.4166666666665</v>
      </c>
      <c r="H25" s="17">
        <v>88845</v>
      </c>
      <c r="I25" s="18">
        <f t="shared" si="3"/>
        <v>3701.875</v>
      </c>
      <c r="J25" s="17">
        <v>91141</v>
      </c>
      <c r="K25" s="18">
        <f t="shared" si="4"/>
        <v>3797.5416666666665</v>
      </c>
    </row>
    <row r="26" spans="1:11" x14ac:dyDescent="0.2">
      <c r="A26" s="20">
        <v>17</v>
      </c>
      <c r="B26" s="17">
        <v>75130</v>
      </c>
      <c r="C26" s="18">
        <f t="shared" si="0"/>
        <v>3130.4166666666665</v>
      </c>
      <c r="D26" s="17">
        <v>80468</v>
      </c>
      <c r="E26" s="18">
        <f t="shared" si="1"/>
        <v>3352.8333333333335</v>
      </c>
      <c r="F26" s="17">
        <v>88657</v>
      </c>
      <c r="G26" s="18">
        <f t="shared" si="2"/>
        <v>3694.0416666666665</v>
      </c>
      <c r="H26" s="17">
        <v>89580</v>
      </c>
      <c r="I26" s="18">
        <f t="shared" si="3"/>
        <v>3732.5</v>
      </c>
      <c r="J26" s="17">
        <v>91878</v>
      </c>
      <c r="K26" s="18">
        <f t="shared" si="4"/>
        <v>3828.25</v>
      </c>
    </row>
    <row r="27" spans="1:11" x14ac:dyDescent="0.2">
      <c r="A27" s="20">
        <v>18</v>
      </c>
      <c r="B27" s="17">
        <v>76163</v>
      </c>
      <c r="C27" s="18">
        <f t="shared" si="0"/>
        <v>3173.4583333333335</v>
      </c>
      <c r="D27" s="17">
        <v>81614</v>
      </c>
      <c r="E27" s="18">
        <f t="shared" si="1"/>
        <v>3400.5833333333335</v>
      </c>
      <c r="F27" s="17">
        <v>89966</v>
      </c>
      <c r="G27" s="18">
        <f t="shared" si="2"/>
        <v>3748.5833333333335</v>
      </c>
      <c r="H27" s="17">
        <v>90911</v>
      </c>
      <c r="I27" s="18">
        <f t="shared" si="3"/>
        <v>3787.9583333333335</v>
      </c>
      <c r="J27" s="17">
        <v>93251</v>
      </c>
      <c r="K27" s="18">
        <f t="shared" si="4"/>
        <v>3885.4583333333335</v>
      </c>
    </row>
    <row r="28" spans="1:11" x14ac:dyDescent="0.2">
      <c r="A28" s="20">
        <v>19</v>
      </c>
      <c r="B28" s="17">
        <v>77687</v>
      </c>
      <c r="C28" s="18">
        <f t="shared" si="0"/>
        <v>3236.9583333333335</v>
      </c>
      <c r="D28" s="17">
        <v>83246</v>
      </c>
      <c r="E28" s="18">
        <f t="shared" si="1"/>
        <v>3468.5833333333335</v>
      </c>
      <c r="F28" s="17">
        <v>91765</v>
      </c>
      <c r="G28" s="18">
        <f t="shared" si="2"/>
        <v>3823.5416666666665</v>
      </c>
      <c r="H28" s="17">
        <v>92728</v>
      </c>
      <c r="I28" s="18">
        <f t="shared" si="3"/>
        <v>3863.6666666666665</v>
      </c>
      <c r="J28" s="17">
        <v>95116</v>
      </c>
      <c r="K28" s="18">
        <f t="shared" si="4"/>
        <v>3963.1666666666665</v>
      </c>
    </row>
    <row r="29" spans="1:11" x14ac:dyDescent="0.2">
      <c r="H29" s="21"/>
    </row>
    <row r="31" spans="1:11" x14ac:dyDescent="0.2">
      <c r="A31" s="9" t="s">
        <v>15</v>
      </c>
    </row>
    <row r="32" spans="1:11" ht="18" x14ac:dyDescent="0.2">
      <c r="B32" s="25" t="s">
        <v>17</v>
      </c>
    </row>
  </sheetData>
  <mergeCells count="4">
    <mergeCell ref="A2:K2"/>
    <mergeCell ref="A3:K3"/>
    <mergeCell ref="A4:K4"/>
    <mergeCell ref="A6:K6"/>
  </mergeCells>
  <pageMargins left="0.7" right="0.7" top="0.75" bottom="0.75" header="0.3" footer="0.3"/>
  <pageSetup scale="80" orientation="landscape" horizontalDpi="0" verticalDpi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20C52C853E42F4FB2601CB9C87AA890" ma:contentTypeVersion="16" ma:contentTypeDescription="Create a new document." ma:contentTypeScope="" ma:versionID="ee2353459fbb16090321640be1352617">
  <xsd:schema xmlns:xsd="http://www.w3.org/2001/XMLSchema" xmlns:xs="http://www.w3.org/2001/XMLSchema" xmlns:p="http://schemas.microsoft.com/office/2006/metadata/properties" xmlns:ns2="0a3f050b-d0f1-4117-bf0c-2e8f12e134b2" xmlns:ns3="4ec96fca-ce05-44b1-b63a-124b2f30cc50" targetNamespace="http://schemas.microsoft.com/office/2006/metadata/properties" ma:root="true" ma:fieldsID="f352be760621c735de936402294ebb4e" ns2:_="" ns3:_="">
    <xsd:import namespace="0a3f050b-d0f1-4117-bf0c-2e8f12e134b2"/>
    <xsd:import namespace="4ec96fca-ce05-44b1-b63a-124b2f30cc5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AutoTags" minOccurs="0"/>
                <xsd:element ref="ns3:SharedWithUsers" minOccurs="0"/>
                <xsd:element ref="ns3:SharedWithDetails" minOccurs="0"/>
                <xsd:element ref="ns2:MediaServiceLocation" minOccurs="0"/>
                <xsd:element ref="ns2:MediaServiceOCR" minOccurs="0"/>
                <xsd:element ref="ns2:MediaServiceAutoKeyPoints" minOccurs="0"/>
                <xsd:element ref="ns2:MediaServiceKeyPoints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a3f050b-d0f1-4117-bf0c-2e8f12e134b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MediaServiceLocation" ma:index="14" nillable="true" ma:displayName="Location" ma:internalName="MediaServiceLocation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AutoKeyPoints" ma:index="16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7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ec96fca-ce05-44b1-b63a-124b2f30cc50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5" ma:displayName="Content Type"/>
        <xsd:element ref="dc:title" minOccurs="0" maxOccurs="1" ma:index="3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E0871BAD-1CDE-434A-A237-474B0900E840}"/>
</file>

<file path=customXml/itemProps2.xml><?xml version="1.0" encoding="utf-8"?>
<ds:datastoreItem xmlns:ds="http://schemas.openxmlformats.org/officeDocument/2006/customXml" ds:itemID="{372F69F9-551A-4869-BF14-A386430406D9}"/>
</file>

<file path=customXml/itemProps3.xml><?xml version="1.0" encoding="utf-8"?>
<ds:datastoreItem xmlns:ds="http://schemas.openxmlformats.org/officeDocument/2006/customXml" ds:itemID="{F647FA30-96FA-432F-884B-CAB45F0CD04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10 mont teacher </vt:lpstr>
      <vt:lpstr>11 month teacher</vt:lpstr>
      <vt:lpstr>12 month teacher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cp:lastPrinted>2021-05-27T17:09:11Z</cp:lastPrinted>
  <dcterms:created xsi:type="dcterms:W3CDTF">2021-04-09T20:56:33Z</dcterms:created>
  <dcterms:modified xsi:type="dcterms:W3CDTF">2021-05-27T17:09:15Z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0x010100B20C52C853E42F4FB2601CB9C87AA890</vt:lpwstr>
  </property>
</Properties>
</file>